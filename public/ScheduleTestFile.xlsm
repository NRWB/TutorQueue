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80" windowWidth="12600" windowHeight="9792" tabRatio="612" activeTab="1"/>
  </bookViews>
  <sheets>
    <sheet name="Coverage" sheetId="6" r:id="rId1"/>
    <sheet name="Schedule" sheetId="5" r:id="rId2"/>
    <sheet name="Cruncher" sheetId="3" r:id="rId3"/>
    <sheet name="BusCardInfo" sheetId="7" r:id="rId4"/>
  </sheets>
  <functionGroups builtInGroupCount="17"/>
  <calcPr calcId="145621"/>
</workbook>
</file>

<file path=xl/calcChain.xml><?xml version="1.0" encoding="utf-8"?>
<calcChain xmlns="http://schemas.openxmlformats.org/spreadsheetml/2006/main">
  <c r="J4" i="3" l="1"/>
  <c r="J5" i="3"/>
  <c r="J6" i="3"/>
  <c r="J7" i="3"/>
  <c r="J8" i="3"/>
  <c r="J9" i="3"/>
  <c r="J10" i="3"/>
  <c r="J11" i="3"/>
  <c r="J12" i="3"/>
  <c r="J13" i="3"/>
  <c r="J14" i="3"/>
  <c r="J15" i="3"/>
  <c r="J16" i="3"/>
  <c r="J17" i="3"/>
  <c r="J18" i="3"/>
  <c r="J19" i="3"/>
  <c r="J20" i="3"/>
  <c r="J21" i="3"/>
  <c r="J22" i="3"/>
  <c r="J23" i="3"/>
  <c r="J24" i="3"/>
  <c r="J3" i="3"/>
  <c r="A1" i="7" l="1"/>
  <c r="A55" i="7" l="1"/>
  <c r="A61" i="7"/>
  <c r="A10" i="7"/>
  <c r="A77" i="7"/>
  <c r="A107" i="7"/>
  <c r="A8" i="7"/>
  <c r="A86" i="7"/>
  <c r="A49" i="7"/>
  <c r="A102" i="7"/>
  <c r="A25" i="7"/>
  <c r="A96" i="7"/>
  <c r="A57" i="7"/>
  <c r="A5" i="7"/>
  <c r="A3" i="7"/>
  <c r="A110" i="7"/>
  <c r="A66" i="7"/>
  <c r="A70" i="7"/>
  <c r="A90" i="7"/>
  <c r="A43" i="7"/>
  <c r="A92" i="7"/>
  <c r="A40" i="7"/>
  <c r="A99" i="7"/>
  <c r="A6" i="7"/>
  <c r="A42" i="7"/>
  <c r="A22" i="7"/>
  <c r="A41" i="7"/>
  <c r="A83" i="7"/>
  <c r="A33" i="7"/>
  <c r="A73" i="7"/>
  <c r="A85" i="7"/>
  <c r="A31" i="7"/>
  <c r="A75" i="7"/>
  <c r="A109" i="7"/>
  <c r="A4" i="7"/>
  <c r="A108" i="7"/>
  <c r="A88" i="7"/>
  <c r="A54" i="7"/>
  <c r="A39" i="7"/>
  <c r="A84" i="7"/>
  <c r="A58" i="7"/>
  <c r="A62" i="7"/>
  <c r="A45" i="7"/>
  <c r="A87" i="7"/>
  <c r="A9" i="7"/>
  <c r="A74" i="7"/>
  <c r="A26" i="7"/>
  <c r="A91" i="7"/>
  <c r="B12" i="3"/>
  <c r="E9" i="3"/>
  <c r="E6" i="3"/>
  <c r="B11" i="3"/>
  <c r="C14" i="3"/>
  <c r="B5" i="3"/>
  <c r="D11" i="3"/>
  <c r="E5" i="3"/>
  <c r="B6" i="3"/>
  <c r="H10" i="3"/>
  <c r="C6" i="3"/>
  <c r="C5" i="3"/>
  <c r="C12" i="3"/>
  <c r="C7" i="3"/>
  <c r="B14" i="3"/>
  <c r="B4" i="3"/>
  <c r="E10" i="3"/>
  <c r="H7" i="3"/>
  <c r="F5" i="3"/>
  <c r="E4" i="3"/>
  <c r="B13" i="3"/>
  <c r="B8" i="3"/>
  <c r="F7" i="3"/>
  <c r="C9" i="3"/>
  <c r="E14" i="3"/>
  <c r="F10" i="3"/>
  <c r="D14" i="3"/>
  <c r="D8" i="3"/>
  <c r="F8" i="3"/>
  <c r="C8" i="3"/>
  <c r="C4" i="3"/>
  <c r="A95" i="7"/>
  <c r="A63" i="7"/>
  <c r="A35" i="7"/>
  <c r="A29" i="7"/>
  <c r="A65" i="7"/>
  <c r="A11" i="7"/>
  <c r="A17" i="7"/>
  <c r="A67" i="7"/>
  <c r="A60" i="7"/>
  <c r="A80" i="7"/>
  <c r="A44" i="7"/>
  <c r="A48" i="7"/>
  <c r="A89" i="7"/>
  <c r="A56" i="7"/>
  <c r="A28" i="7"/>
  <c r="A12" i="7"/>
  <c r="K1" i="7"/>
  <c r="A16" i="7"/>
  <c r="A50" i="7"/>
  <c r="A37" i="7"/>
  <c r="A76" i="7"/>
  <c r="A51" i="7"/>
  <c r="A101" i="7"/>
  <c r="L1" i="7"/>
  <c r="A100" i="7"/>
  <c r="A71" i="7"/>
  <c r="A103" i="7"/>
  <c r="A19" i="7"/>
  <c r="A24" i="7"/>
  <c r="A78" i="7"/>
  <c r="A14" i="7"/>
  <c r="A59" i="7"/>
  <c r="A82" i="7"/>
  <c r="A34" i="7"/>
  <c r="A93" i="7"/>
  <c r="A52" i="7"/>
  <c r="A97" i="7"/>
  <c r="A13" i="7"/>
  <c r="A30" i="7"/>
  <c r="A47" i="7"/>
  <c r="A27" i="7"/>
  <c r="A7" i="7"/>
  <c r="B9" i="3"/>
  <c r="E13" i="3"/>
  <c r="C11" i="3"/>
  <c r="D4" i="3"/>
  <c r="F6" i="3"/>
  <c r="B10" i="3"/>
  <c r="C10" i="3"/>
  <c r="D9" i="3"/>
  <c r="D10" i="3"/>
  <c r="E7" i="3"/>
  <c r="D6" i="3"/>
  <c r="D5" i="3"/>
  <c r="D13" i="3"/>
  <c r="H8" i="3"/>
  <c r="A15" i="7"/>
  <c r="A98" i="7"/>
  <c r="A69" i="7"/>
  <c r="A81" i="7"/>
  <c r="A38" i="7"/>
  <c r="A20" i="7"/>
  <c r="A68" i="7"/>
  <c r="A79" i="7"/>
  <c r="A105" i="7"/>
  <c r="A18" i="7"/>
  <c r="A46" i="7"/>
  <c r="A21" i="7"/>
  <c r="A94" i="7"/>
  <c r="A23" i="7"/>
  <c r="A53" i="7"/>
  <c r="A32" i="7"/>
  <c r="A36" i="7"/>
  <c r="A106" i="7"/>
  <c r="A104" i="7"/>
  <c r="A64" i="7"/>
  <c r="A72" i="7"/>
  <c r="D7" i="3"/>
  <c r="E8" i="3"/>
  <c r="D12" i="3"/>
  <c r="E11" i="3"/>
  <c r="B7" i="3"/>
  <c r="H9" i="3"/>
  <c r="F9" i="3"/>
  <c r="C13" i="3"/>
  <c r="E12" i="3"/>
  <c r="C3" i="7" l="1"/>
</calcChain>
</file>

<file path=xl/comments1.xml><?xml version="1.0" encoding="utf-8"?>
<comments xmlns="http://schemas.openxmlformats.org/spreadsheetml/2006/main">
  <authors>
    <author>Erin Hill</author>
  </authors>
  <commentList>
    <comment ref="L1" authorId="0">
      <text>
        <r>
          <rPr>
            <b/>
            <sz val="9"/>
            <color indexed="81"/>
            <rFont val="Tahoma"/>
            <family val="2"/>
          </rPr>
          <t>Erin Hill:</t>
        </r>
        <r>
          <rPr>
            <sz val="9"/>
            <color indexed="81"/>
            <rFont val="Tahoma"/>
            <family val="2"/>
          </rPr>
          <t xml:space="preserve">
Match looks in column A to find "10am" and returns the row number that it finds it in. 2 is subtracted since the first tutor name doesn't start until the second row.</t>
        </r>
      </text>
    </comment>
  </commentList>
</comments>
</file>

<file path=xl/comments2.xml><?xml version="1.0" encoding="utf-8"?>
<comments xmlns="http://schemas.openxmlformats.org/spreadsheetml/2006/main">
  <authors>
    <author>Erin Hill</author>
  </authors>
  <commentList>
    <comment ref="I1" authorId="0">
      <text>
        <r>
          <rPr>
            <b/>
            <sz val="9"/>
            <color indexed="81"/>
            <rFont val="Tahoma"/>
            <family val="2"/>
          </rPr>
          <t>Erin Hill:</t>
        </r>
        <r>
          <rPr>
            <sz val="9"/>
            <color indexed="81"/>
            <rFont val="Tahoma"/>
            <family val="2"/>
          </rPr>
          <t xml:space="preserve">
put in the number of tutors
</t>
        </r>
      </text>
    </comment>
    <comment ref="J3" authorId="0">
      <text>
        <r>
          <rPr>
            <b/>
            <sz val="9"/>
            <color indexed="81"/>
            <rFont val="Tahoma"/>
            <family val="2"/>
          </rPr>
          <t>Erin Hill:</t>
        </r>
        <r>
          <rPr>
            <sz val="9"/>
            <color indexed="81"/>
            <rFont val="Tahoma"/>
            <family val="2"/>
          </rPr>
          <t xml:space="preserve">
Looks up the course in B1 in the Coverage sheet, and returns the value in the row specified in the same column where it found the class. It will start with row 2 since the first row contains the class name. If it returns an "x", then the tutor's name for that row is returned, otherwise, it returns "Default". The next row down, the formula looks in row 3, and so on.</t>
        </r>
      </text>
    </comment>
    <comment ref="B4" authorId="0">
      <text>
        <r>
          <rPr>
            <b/>
            <sz val="9"/>
            <color indexed="81"/>
            <rFont val="Tahoma"/>
            <family val="2"/>
          </rPr>
          <t>Erin Hill:</t>
        </r>
        <r>
          <rPr>
            <sz val="9"/>
            <color indexed="81"/>
            <rFont val="Tahoma"/>
            <family val="2"/>
          </rPr>
          <t xml:space="preserve">
--(array)=value (or array) looks to see when an array contains "vale" and makes a new array of 0's and 1's where the 1's show up in the place where "value" was found in the array. The "--" turns text (true/false) into numbers. If array is on the right side too, it checks to see when the arrays are equal for matching locations in the array, e.g., to see if array1, position 1 equals array2, position 1. The if statement then checks the result of the sumproduct array of 1's and 0's for the 1's (&lt;&gt; = not equal to), and places an "x" when it finds a 1. Otherwise, the cell is left blank. The letters along the bottom of the chart, tell Excel to look in that particular column on the Schedule sheet, and the numbers on the right in conjunction with the number in I1, compute the length of the array on the schedule page depending on the number of tutors.</t>
        </r>
      </text>
    </comment>
  </commentList>
</comments>
</file>

<file path=xl/comments3.xml><?xml version="1.0" encoding="utf-8"?>
<comments xmlns="http://schemas.openxmlformats.org/spreadsheetml/2006/main">
  <authors>
    <author>Erin Hill</author>
  </authors>
  <commentList>
    <comment ref="A1" authorId="0">
      <text>
        <r>
          <rPr>
            <b/>
            <sz val="9"/>
            <color indexed="81"/>
            <rFont val="Tahoma"/>
            <family val="2"/>
          </rPr>
          <t>Erin Hill:</t>
        </r>
        <r>
          <rPr>
            <sz val="9"/>
            <color indexed="81"/>
            <rFont val="Tahoma"/>
            <family val="2"/>
          </rPr>
          <t xml:space="preserve">
Provides the address of the last cell with a class in it, and with a tutor listed, on the Coverage sheet so that a neither a class or a tutor are missed when a new one of either is added on. Match is looking for the last tutor name in column A, and the last class in row 4.</t>
        </r>
      </text>
    </comment>
    <comment ref="K1" authorId="0">
      <text>
        <r>
          <rPr>
            <b/>
            <sz val="9"/>
            <color indexed="81"/>
            <rFont val="Tahoma"/>
            <family val="2"/>
          </rPr>
          <t>Erin Hill:</t>
        </r>
        <r>
          <rPr>
            <sz val="9"/>
            <color indexed="81"/>
            <rFont val="Tahoma"/>
            <family val="2"/>
          </rPr>
          <t xml:space="preserve">
This grabs the column number from A1 since that represents how many classes are listed minus 2, but since the classes in column A don't start until column 3, you want to go down to the indicated row based on the number of total columns.</t>
        </r>
      </text>
    </comment>
    <comment ref="A3" authorId="0">
      <text>
        <r>
          <rPr>
            <b/>
            <sz val="9"/>
            <color indexed="81"/>
            <rFont val="Tahoma"/>
            <family val="2"/>
          </rPr>
          <t>Erin Hill:</t>
        </r>
        <r>
          <rPr>
            <sz val="9"/>
            <color indexed="81"/>
            <rFont val="Tahoma"/>
            <family val="2"/>
          </rPr>
          <t xml:space="preserve">
Vlookup looks in the first column for the tutor name in C1, then looks in the column given by the row number this formula is currently in to check for an "x". If an "x" is present, indirect pulls the value from row 4 of the same column to get the class name. If there's no "x", it leaves it blank.</t>
        </r>
      </text>
    </comment>
    <comment ref="C3" authorId="0">
      <text>
        <r>
          <rPr>
            <b/>
            <sz val="9"/>
            <color indexed="81"/>
            <rFont val="Tahoma"/>
            <family val="2"/>
          </rPr>
          <t>Erin Hill:</t>
        </r>
        <r>
          <rPr>
            <sz val="9"/>
            <color indexed="81"/>
            <rFont val="Tahoma"/>
            <family val="2"/>
          </rPr>
          <t xml:space="preserve">
Combine is a VBA script function that was added to this workbook. It concatenates the classes in column A. To know where to stop, depending on the number of classes, which can be variable, this formula references L1 which tells it where to stop. The Combine function ignores any cell values that are blank. Have to check VBA code to see this and change it.</t>
        </r>
      </text>
    </comment>
  </commentList>
</comments>
</file>

<file path=xl/sharedStrings.xml><?xml version="1.0" encoding="utf-8"?>
<sst xmlns="http://schemas.openxmlformats.org/spreadsheetml/2006/main" count="907" uniqueCount="338">
  <si>
    <t>Name</t>
  </si>
  <si>
    <t>Algebra</t>
  </si>
  <si>
    <t>Pre-Calc</t>
  </si>
  <si>
    <t>Calc I</t>
  </si>
  <si>
    <t>Calc II</t>
  </si>
  <si>
    <t>Calc III</t>
  </si>
  <si>
    <t>Phys I</t>
  </si>
  <si>
    <t>Phys II</t>
  </si>
  <si>
    <t>Phys III</t>
  </si>
  <si>
    <t>Chem I</t>
  </si>
  <si>
    <t>Chem II</t>
  </si>
  <si>
    <t>Chem III</t>
  </si>
  <si>
    <t>OChem I</t>
  </si>
  <si>
    <t>OChem II</t>
  </si>
  <si>
    <t>OChem III</t>
  </si>
  <si>
    <t>EE</t>
  </si>
  <si>
    <t>CSS</t>
  </si>
  <si>
    <t>Excel</t>
  </si>
  <si>
    <t>SPSS</t>
  </si>
  <si>
    <t>Matlab</t>
  </si>
  <si>
    <t>Software</t>
  </si>
  <si>
    <t>Acctng I</t>
  </si>
  <si>
    <t>Acctng II</t>
  </si>
  <si>
    <t>Stats</t>
  </si>
  <si>
    <t>x</t>
  </si>
  <si>
    <t>Fin Acctg</t>
  </si>
  <si>
    <t>MicroEcon</t>
  </si>
  <si>
    <t>MacroEcon</t>
  </si>
  <si>
    <t>Mng Econ</t>
  </si>
  <si>
    <t>Mktg Mng</t>
  </si>
  <si>
    <t>Bus Fin</t>
  </si>
  <si>
    <t>Ops Mgn</t>
  </si>
  <si>
    <t>Invest</t>
  </si>
  <si>
    <t>Baoming</t>
  </si>
  <si>
    <t>Fut &amp; Ops</t>
  </si>
  <si>
    <t>Amber</t>
  </si>
  <si>
    <t>Confirmed</t>
  </si>
  <si>
    <t>Calc Phys I</t>
  </si>
  <si>
    <t>Calc Phys II</t>
  </si>
  <si>
    <t>Calc Phys III</t>
  </si>
  <si>
    <t>Multivar Calc</t>
  </si>
  <si>
    <t>Game Theory</t>
  </si>
  <si>
    <t>Diff Equations</t>
  </si>
  <si>
    <t>Manag Acctg</t>
  </si>
  <si>
    <t>Fin P&amp;Prac</t>
  </si>
  <si>
    <t>Fin I&amp;M</t>
  </si>
  <si>
    <t>Discrete Time Lin Sys</t>
  </si>
  <si>
    <t>Dev &amp; Circuits II</t>
  </si>
  <si>
    <t>Fund of EE</t>
  </si>
  <si>
    <t>Circ Theory</t>
  </si>
  <si>
    <t>Time Lin Sys</t>
  </si>
  <si>
    <t>Dig Circuits</t>
  </si>
  <si>
    <t>Dev &amp; Circuits I</t>
  </si>
  <si>
    <t>Op Sys</t>
  </si>
  <si>
    <t>Fund of Comput</t>
  </si>
  <si>
    <t>Prog Method</t>
  </si>
  <si>
    <t>Hardw &amp; Comp Org</t>
  </si>
  <si>
    <t>Analysis &amp; Design</t>
  </si>
  <si>
    <t>Cryptog</t>
  </si>
  <si>
    <t>Prob</t>
  </si>
  <si>
    <t>Underst Stats</t>
  </si>
  <si>
    <t>Prob &amp; Stats Eng</t>
  </si>
  <si>
    <t>Fed Inc Tax</t>
  </si>
  <si>
    <t>Acc Info Sys</t>
  </si>
  <si>
    <t>Genetics</t>
  </si>
  <si>
    <t>Sean</t>
  </si>
  <si>
    <t>Time</t>
  </si>
  <si>
    <t>Monday</t>
  </si>
  <si>
    <t>Tuesday</t>
  </si>
  <si>
    <t>Wednesday</t>
  </si>
  <si>
    <t>Thursday</t>
  </si>
  <si>
    <t>Friday</t>
  </si>
  <si>
    <t>Saturday</t>
  </si>
  <si>
    <t>Sunday</t>
  </si>
  <si>
    <t>9am - 10am</t>
  </si>
  <si>
    <t>10am - 11am</t>
  </si>
  <si>
    <t>11am - 12pm</t>
  </si>
  <si>
    <t>12pm - 1pm</t>
  </si>
  <si>
    <t>1pm - 2pm</t>
  </si>
  <si>
    <t>2pm - 3pm</t>
  </si>
  <si>
    <t>3pm - 4pm</t>
  </si>
  <si>
    <t>4pm - 5pm</t>
  </si>
  <si>
    <t>5pm - 6pm</t>
  </si>
  <si>
    <t>6pm - 7pm</t>
  </si>
  <si>
    <t>7pm - 8pm</t>
  </si>
  <si>
    <t>Class:</t>
  </si>
  <si>
    <t>PHYS</t>
  </si>
  <si>
    <t>CHEM</t>
  </si>
  <si>
    <t>BIS 315</t>
  </si>
  <si>
    <t>BIO</t>
  </si>
  <si>
    <t>Micro</t>
  </si>
  <si>
    <t>Cell</t>
  </si>
  <si>
    <t>BIS 218</t>
  </si>
  <si>
    <t>BIS 342</t>
  </si>
  <si>
    <t>BIS 442</t>
  </si>
  <si>
    <t>web GIS</t>
  </si>
  <si>
    <t>Intro GIS</t>
  </si>
  <si>
    <t>Advanced GIS</t>
  </si>
  <si>
    <t>CHEM 237</t>
  </si>
  <si>
    <t>CHEM 238</t>
  </si>
  <si>
    <t>CHEM 239</t>
  </si>
  <si>
    <t>EE 215</t>
  </si>
  <si>
    <t>EE 233</t>
  </si>
  <si>
    <t>EE 235</t>
  </si>
  <si>
    <t>EE 271</t>
  </si>
  <si>
    <t>EE 331</t>
  </si>
  <si>
    <t>EE 332</t>
  </si>
  <si>
    <t>EE 341</t>
  </si>
  <si>
    <t>CSS 161</t>
  </si>
  <si>
    <t>CSS 162</t>
  </si>
  <si>
    <t>CSS 342</t>
  </si>
  <si>
    <t>CSS 343</t>
  </si>
  <si>
    <t>CSS 370</t>
  </si>
  <si>
    <t>CSS 422</t>
  </si>
  <si>
    <t>CSS 430</t>
  </si>
  <si>
    <t>CUSP 200</t>
  </si>
  <si>
    <t>CUSP 201</t>
  </si>
  <si>
    <t>MATHEMATICS</t>
  </si>
  <si>
    <t>BIO 360</t>
  </si>
  <si>
    <t>BIO 370</t>
  </si>
  <si>
    <t>BIO 380</t>
  </si>
  <si>
    <t>Alvaro</t>
  </si>
  <si>
    <t>STMATH 307</t>
  </si>
  <si>
    <t>STMATH 310</t>
  </si>
  <si>
    <t>STMATH 308</t>
  </si>
  <si>
    <t>STMATH 324</t>
  </si>
  <si>
    <t>STMATH 390</t>
  </si>
  <si>
    <t>Intro Bio I</t>
  </si>
  <si>
    <t>BIO 180</t>
  </si>
  <si>
    <t>Intro Bio II</t>
  </si>
  <si>
    <t>Intro Bio III</t>
  </si>
  <si>
    <t>BIO 200</t>
  </si>
  <si>
    <t>BIO 220</t>
  </si>
  <si>
    <t>BUSINESS</t>
  </si>
  <si>
    <t>GIS</t>
  </si>
  <si>
    <t>Possible Tutors</t>
  </si>
  <si>
    <t>Matrix Algebra</t>
  </si>
  <si>
    <t>Genes &amp; Heredity</t>
  </si>
  <si>
    <t>Climate Science</t>
  </si>
  <si>
    <t>Applied Electromagnetics</t>
  </si>
  <si>
    <t>Bus. Stats</t>
  </si>
  <si>
    <t>Inf. Mgnt</t>
  </si>
  <si>
    <t>Acctg III</t>
  </si>
  <si>
    <t>Mkt Intel.</t>
  </si>
  <si>
    <t>BIO 231</t>
  </si>
  <si>
    <t>BST 200</t>
  </si>
  <si>
    <t>EE 361</t>
  </si>
  <si>
    <t>Javascript</t>
  </si>
  <si>
    <t>X</t>
  </si>
  <si>
    <t>B</t>
  </si>
  <si>
    <t>C</t>
  </si>
  <si>
    <t>D</t>
  </si>
  <si>
    <t>E</t>
  </si>
  <si>
    <t>G</t>
  </si>
  <si>
    <t>H</t>
  </si>
  <si>
    <t>F</t>
  </si>
  <si>
    <t>BES 301</t>
  </si>
  <si>
    <t>Scientific Methods</t>
  </si>
  <si>
    <t>Foundations of Modern Math</t>
  </si>
  <si>
    <t>STMATH 300</t>
  </si>
  <si>
    <t>Software Engr</t>
  </si>
  <si>
    <t>CSS 360</t>
  </si>
  <si>
    <t>Embedded Sys</t>
  </si>
  <si>
    <t>CSS 427</t>
  </si>
  <si>
    <t>STMATH 341</t>
  </si>
  <si>
    <t>Stat Inf</t>
  </si>
  <si>
    <t>CSS 421</t>
  </si>
  <si>
    <t>Intro to Hardware and Operating Systems</t>
  </si>
  <si>
    <t>CSS 428</t>
  </si>
  <si>
    <t>Adv Embedded Sys</t>
  </si>
  <si>
    <t>CSS 451</t>
  </si>
  <si>
    <t>CSS 475</t>
  </si>
  <si>
    <t>CSS 480</t>
  </si>
  <si>
    <t>CSS 487</t>
  </si>
  <si>
    <t>3-D Graphics</t>
  </si>
  <si>
    <t>DataBase Systems</t>
  </si>
  <si>
    <t>Human-Comp Interact</t>
  </si>
  <si>
    <t>Computer Vision</t>
  </si>
  <si>
    <t>STMATH 381</t>
  </si>
  <si>
    <t>Discrete Math Model</t>
  </si>
  <si>
    <t>Evolution</t>
  </si>
  <si>
    <t>BIO 466</t>
  </si>
  <si>
    <t>BES 303</t>
  </si>
  <si>
    <t>Envir Monitor Pract</t>
  </si>
  <si>
    <t>Audit Theory</t>
  </si>
  <si>
    <t>Entrepreneurial Finance</t>
  </si>
  <si>
    <t>CSS 350</t>
  </si>
  <si>
    <t xml:space="preserve">MGT Principles </t>
  </si>
  <si>
    <t>Lam</t>
  </si>
  <si>
    <t>CHEM 143</t>
  </si>
  <si>
    <t>CHEM 153</t>
  </si>
  <si>
    <t>CHEM 163</t>
  </si>
  <si>
    <t>Statics</t>
  </si>
  <si>
    <t>Modern Phys</t>
  </si>
  <si>
    <t>STMATH 124</t>
  </si>
  <si>
    <t>STMATH 125</t>
  </si>
  <si>
    <t>STMATH 126</t>
  </si>
  <si>
    <t>Janell</t>
  </si>
  <si>
    <t>Xin</t>
  </si>
  <si>
    <t>CSS 501</t>
  </si>
  <si>
    <t>CSS 502</t>
  </si>
  <si>
    <t>Tutor:</t>
  </si>
  <si>
    <t>Courses:</t>
  </si>
  <si>
    <t>In column A, make sure to fill the courses formula to:</t>
  </si>
  <si>
    <t>Mech E</t>
  </si>
  <si>
    <t>Biochemistry</t>
  </si>
  <si>
    <t>Deformable bodies</t>
  </si>
  <si>
    <t>Intro 3D Models</t>
  </si>
  <si>
    <t>Thermal Fluids I</t>
  </si>
  <si>
    <t>Thermal Fluids II</t>
  </si>
  <si>
    <t>Mech sys design</t>
  </si>
  <si>
    <t>OO languages</t>
  </si>
  <si>
    <t>Secure Systems</t>
  </si>
  <si>
    <t>Math Princ of Comput</t>
  </si>
  <si>
    <t>Data Struct &amp; Alg</t>
  </si>
  <si>
    <t>Sys Programming</t>
  </si>
  <si>
    <t>Software Dev</t>
  </si>
  <si>
    <t>Software Modelling</t>
  </si>
  <si>
    <t>Software Testing</t>
  </si>
  <si>
    <t>Management of Orgs</t>
  </si>
  <si>
    <t>Management teams</t>
  </si>
  <si>
    <t>BPHYS 114</t>
  </si>
  <si>
    <t>BPHYS 115</t>
  </si>
  <si>
    <t>BPHYS 116</t>
  </si>
  <si>
    <t>BPHYS 121</t>
  </si>
  <si>
    <t>BPHYS 122</t>
  </si>
  <si>
    <t>BPHYS 123</t>
  </si>
  <si>
    <t>BPHYS 222</t>
  </si>
  <si>
    <t>BIO 364</t>
  </si>
  <si>
    <t>BIO 365</t>
  </si>
  <si>
    <t>BME 221</t>
  </si>
  <si>
    <t>BME 222</t>
  </si>
  <si>
    <t>BME 315</t>
  </si>
  <si>
    <t>BME 341</t>
  </si>
  <si>
    <t>CSS 332</t>
  </si>
  <si>
    <t>CSS 337</t>
  </si>
  <si>
    <t>CSS 503</t>
  </si>
  <si>
    <t>CSS 506</t>
  </si>
  <si>
    <t>CSS 507</t>
  </si>
  <si>
    <t>CSS 508</t>
  </si>
  <si>
    <t>BBUS 210</t>
  </si>
  <si>
    <t>BBUS 211</t>
  </si>
  <si>
    <t>BBUS 215</t>
  </si>
  <si>
    <t>BBUS 300</t>
  </si>
  <si>
    <t>BBUS 310</t>
  </si>
  <si>
    <t>BBUS 320</t>
  </si>
  <si>
    <t>BBUS 330</t>
  </si>
  <si>
    <t>BBUS 340</t>
  </si>
  <si>
    <t>BBUS 350</t>
  </si>
  <si>
    <t>BBUS 361</t>
  </si>
  <si>
    <t>BBUS 362</t>
  </si>
  <si>
    <t>BBUS 363</t>
  </si>
  <si>
    <t>BBUS 402</t>
  </si>
  <si>
    <t>BBUS 411</t>
  </si>
  <si>
    <t>BBUS 423</t>
  </si>
  <si>
    <t>BBUS 435</t>
  </si>
  <si>
    <t>BBUS 450</t>
  </si>
  <si>
    <t>BBUS 451</t>
  </si>
  <si>
    <t>BBUS 453</t>
  </si>
  <si>
    <t>BBUS 454</t>
  </si>
  <si>
    <t>BBUS 455</t>
  </si>
  <si>
    <t>BBUS 456</t>
  </si>
  <si>
    <t xml:space="preserve"> </t>
  </si>
  <si>
    <t>Luna</t>
  </si>
  <si>
    <t>Ngoc</t>
  </si>
  <si>
    <t>Wendy</t>
  </si>
  <si>
    <t>Harman</t>
  </si>
  <si>
    <t>STMATH 350</t>
  </si>
  <si>
    <t>Abstract Alg</t>
  </si>
  <si>
    <t>STMATH 402</t>
  </si>
  <si>
    <t>Shayan</t>
  </si>
  <si>
    <t>Thermal Phys</t>
  </si>
  <si>
    <t>The Cosmos</t>
  </si>
  <si>
    <t>Elect &amp; Mag I</t>
  </si>
  <si>
    <t>Quantum Mech I</t>
  </si>
  <si>
    <t>PHYS 224</t>
  </si>
  <si>
    <t>PHYS 305</t>
  </si>
  <si>
    <t>PHYS 321</t>
  </si>
  <si>
    <t>PHYS 324</t>
  </si>
  <si>
    <t>Quat Environmental Analysis</t>
  </si>
  <si>
    <t>BIO CHEM I</t>
  </si>
  <si>
    <t>BIO CHEM II</t>
  </si>
  <si>
    <t>PHYS CHEM</t>
  </si>
  <si>
    <t>CHEM 315</t>
  </si>
  <si>
    <t>CHEM 364</t>
  </si>
  <si>
    <t>CHEM 365</t>
  </si>
  <si>
    <t>CHEM 401</t>
  </si>
  <si>
    <t>Data Structures and OOP I</t>
  </si>
  <si>
    <t>Data Structures and OOP II</t>
  </si>
  <si>
    <t>Environmental Science</t>
  </si>
  <si>
    <t>Hydrogeology</t>
  </si>
  <si>
    <t>BES 318</t>
  </si>
  <si>
    <t>Anthony</t>
  </si>
  <si>
    <t>BMATH 122</t>
  </si>
  <si>
    <t>BMATH 123</t>
  </si>
  <si>
    <t>CHANGED</t>
  </si>
  <si>
    <t>Accelerating Bodies</t>
  </si>
  <si>
    <t>BME 223</t>
  </si>
  <si>
    <t>?</t>
  </si>
  <si>
    <t>Phys/Chem of comp</t>
  </si>
  <si>
    <t>CSS 225</t>
  </si>
  <si>
    <t>Cost Accounting</t>
  </si>
  <si>
    <t>BBUS 373</t>
  </si>
  <si>
    <t>Geomorphology</t>
  </si>
  <si>
    <t>BES 321</t>
  </si>
  <si>
    <t>STMATH 424</t>
  </si>
  <si>
    <t>STMATH 444</t>
  </si>
  <si>
    <t>Real Analysis</t>
  </si>
  <si>
    <t>Geometry</t>
  </si>
  <si>
    <t>Jason</t>
  </si>
  <si>
    <t>Jessica</t>
  </si>
  <si>
    <t>Meerit</t>
  </si>
  <si>
    <t>Ryan</t>
  </si>
  <si>
    <t>Fall 2015 Tutor Courses Covered</t>
  </si>
  <si>
    <t>Wei</t>
  </si>
  <si>
    <t>Micheal</t>
  </si>
  <si>
    <t>Xudong</t>
  </si>
  <si>
    <t>Anna</t>
  </si>
  <si>
    <t>Kathryn</t>
  </si>
  <si>
    <t>BME 331</t>
  </si>
  <si>
    <t>BME 332</t>
  </si>
  <si>
    <t>Wyatt</t>
  </si>
  <si>
    <t>9am</t>
  </si>
  <si>
    <t>10am</t>
  </si>
  <si>
    <t>11am</t>
  </si>
  <si>
    <t>12pm</t>
  </si>
  <si>
    <t>1pm</t>
  </si>
  <si>
    <t>2pm</t>
  </si>
  <si>
    <t>3pm</t>
  </si>
  <si>
    <t>4pm</t>
  </si>
  <si>
    <t>5pm</t>
  </si>
  <si>
    <t>6pm</t>
  </si>
  <si>
    <t>7pm</t>
  </si>
  <si>
    <t>Heekwon</t>
  </si>
  <si>
    <t>CSS 341</t>
  </si>
  <si>
    <t>Program Theory/App</t>
  </si>
  <si>
    <t>BCUSP 161</t>
  </si>
  <si>
    <t>Digital Thinking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</si>
</sst>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h:mm\ AM/PM;@"/>
  </numFmts>
  <fonts count="18">
    <font>
      <sz val="11"/>
      <color theme="1"/>
      <name val="Calibri"/>
      <family val="2"/>
      <scheme val="minor"/>
    </font>
    <font>
      <b/>
      <sz val="11"/>
      <color theme="1"/>
      <name val="Calibri"/>
      <family val="2"/>
      <scheme val="minor"/>
    </font>
    <font>
      <b/>
      <sz val="10"/>
      <name val="Arial"/>
      <family val="2"/>
    </font>
    <font>
      <sz val="11"/>
      <name val="Calibri"/>
      <family val="2"/>
      <scheme val="minor"/>
    </font>
    <font>
      <sz val="11"/>
      <color theme="1"/>
      <name val="Calibri"/>
      <family val="2"/>
      <scheme val="minor"/>
    </font>
    <font>
      <sz val="11"/>
      <color rgb="FFFF0000"/>
      <name val="Calibri"/>
      <family val="2"/>
      <scheme val="minor"/>
    </font>
    <font>
      <sz val="11"/>
      <color indexed="8"/>
      <name val="宋体"/>
      <charset val="134"/>
    </font>
    <font>
      <u/>
      <sz val="11"/>
      <color theme="10"/>
      <name val="Calibri"/>
      <family val="2"/>
      <scheme val="minor"/>
    </font>
    <font>
      <u/>
      <sz val="11"/>
      <color theme="11"/>
      <name val="Calibri"/>
      <family val="2"/>
      <scheme val="minor"/>
    </font>
    <font>
      <sz val="10"/>
      <color rgb="FF000000"/>
      <name val="Arial"/>
      <family val="2"/>
    </font>
    <font>
      <sz val="11"/>
      <color rgb="FF000000"/>
      <name val="Calibri"/>
      <family val="2"/>
    </font>
    <font>
      <sz val="11"/>
      <color rgb="FFFF0000"/>
      <name val="Calibri"/>
      <family val="2"/>
    </font>
    <font>
      <sz val="11"/>
      <color rgb="FF000000"/>
      <name val="Calibri"/>
      <family val="2"/>
      <charset val="1"/>
    </font>
    <font>
      <sz val="11"/>
      <name val="Calibri"/>
      <family val="2"/>
    </font>
    <font>
      <sz val="11"/>
      <color indexed="8"/>
      <name val="Helvetica Neue"/>
    </font>
    <font>
      <sz val="11"/>
      <color indexed="8"/>
      <name val="宋体"/>
    </font>
    <font>
      <sz val="9"/>
      <color indexed="81"/>
      <name val="Tahoma"/>
      <family val="2"/>
    </font>
    <font>
      <b/>
      <sz val="9"/>
      <color indexed="81"/>
      <name val="Tahoma"/>
      <family val="2"/>
    </font>
  </fonts>
  <fills count="7">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6"/>
        <bgColor indexed="64"/>
      </patternFill>
    </fill>
    <fill>
      <patternFill patternType="solid">
        <fgColor theme="5" tint="0.79998168889431442"/>
        <bgColor indexed="64"/>
      </patternFill>
    </fill>
  </fills>
  <borders count="6">
    <border>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xf numFmtId="0" fontId="4" fillId="0" borderId="0"/>
    <xf numFmtId="0" fontId="6" fillId="0" borderId="0"/>
    <xf numFmtId="0" fontId="6" fillId="0" borderId="0" applyProtection="0"/>
    <xf numFmtId="0" fontId="6" fillId="0" borderId="0" applyProtection="0"/>
    <xf numFmtId="0" fontId="7" fillId="0" borderId="0" applyNumberFormat="0" applyFill="0" applyBorder="0" applyAlignment="0" applyProtection="0"/>
    <xf numFmtId="0" fontId="8" fillId="0" borderId="0" applyNumberFormat="0" applyFill="0" applyBorder="0" applyAlignment="0" applyProtection="0"/>
    <xf numFmtId="0" fontId="9" fillId="0" borderId="0"/>
    <xf numFmtId="0" fontId="12" fillId="0" borderId="0"/>
    <xf numFmtId="0" fontId="12" fillId="0" borderId="0"/>
    <xf numFmtId="0" fontId="10" fillId="0" borderId="0"/>
    <xf numFmtId="0" fontId="10" fillId="0" borderId="0"/>
    <xf numFmtId="0" fontId="14" fillId="0" borderId="0" applyNumberFormat="0" applyFill="0" applyBorder="0" applyProtection="0">
      <alignment vertical="top"/>
    </xf>
    <xf numFmtId="0" fontId="15" fillId="0" borderId="0" applyProtection="0"/>
    <xf numFmtId="0" fontId="15" fillId="0" borderId="0"/>
    <xf numFmtId="0" fontId="15" fillId="0" borderId="0" applyProtection="0"/>
  </cellStyleXfs>
  <cellXfs count="81">
    <xf numFmtId="0" fontId="0" fillId="0" borderId="0" xfId="0"/>
    <xf numFmtId="0" fontId="0" fillId="2" borderId="0" xfId="0" applyFill="1"/>
    <xf numFmtId="0" fontId="0" fillId="0" borderId="0" xfId="0"/>
    <xf numFmtId="0" fontId="1"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right"/>
    </xf>
    <xf numFmtId="0" fontId="2" fillId="0" borderId="0" xfId="0" applyFont="1"/>
    <xf numFmtId="0" fontId="0" fillId="3" borderId="1" xfId="0" applyFill="1" applyBorder="1" applyAlignment="1">
      <alignment horizontal="center"/>
    </xf>
    <xf numFmtId="0" fontId="0" fillId="0" borderId="2" xfId="0" applyBorder="1"/>
    <xf numFmtId="0" fontId="3" fillId="0" borderId="0" xfId="0" applyFont="1"/>
    <xf numFmtId="0" fontId="3" fillId="0" borderId="2" xfId="0" applyFont="1" applyFill="1" applyBorder="1"/>
    <xf numFmtId="0" fontId="3" fillId="2" borderId="0" xfId="0" applyFont="1" applyFill="1"/>
    <xf numFmtId="0" fontId="1" fillId="0" borderId="0" xfId="0" applyFont="1"/>
    <xf numFmtId="0" fontId="0" fillId="4" borderId="0" xfId="0" applyFill="1"/>
    <xf numFmtId="0" fontId="3" fillId="4" borderId="0" xfId="0" applyFont="1" applyFill="1"/>
    <xf numFmtId="0" fontId="0" fillId="0" borderId="0" xfId="0"/>
    <xf numFmtId="0" fontId="0" fillId="0" borderId="1" xfId="0" applyBorder="1" applyAlignment="1">
      <alignment horizontal="center"/>
    </xf>
    <xf numFmtId="0" fontId="0" fillId="0" borderId="0" xfId="0" applyAlignment="1">
      <alignment horizontal="left"/>
    </xf>
    <xf numFmtId="0" fontId="0" fillId="5" borderId="0" xfId="0" applyFill="1"/>
    <xf numFmtId="164" fontId="0" fillId="0" borderId="0" xfId="0" applyNumberFormat="1"/>
    <xf numFmtId="0" fontId="0" fillId="2" borderId="0" xfId="0" applyFill="1" applyAlignment="1">
      <alignment horizontal="center"/>
    </xf>
    <xf numFmtId="0" fontId="0" fillId="0" borderId="0" xfId="0" applyFill="1"/>
    <xf numFmtId="0" fontId="0" fillId="0" borderId="0" xfId="0" applyFill="1" applyAlignment="1">
      <alignment horizontal="center"/>
    </xf>
    <xf numFmtId="0" fontId="5" fillId="0" borderId="0" xfId="0" applyFont="1" applyFill="1" applyAlignment="1">
      <alignment horizontal="center"/>
    </xf>
    <xf numFmtId="0" fontId="0" fillId="0" borderId="4" xfId="0" applyBorder="1" applyAlignment="1">
      <alignment horizontal="center"/>
    </xf>
    <xf numFmtId="0" fontId="0" fillId="0" borderId="0" xfId="0"/>
    <xf numFmtId="0" fontId="0" fillId="0" borderId="0" xfId="0" applyFill="1"/>
    <xf numFmtId="0" fontId="0" fillId="0" borderId="0" xfId="0" applyFill="1" applyAlignment="1">
      <alignment horizontal="center"/>
    </xf>
    <xf numFmtId="0" fontId="3" fillId="5" borderId="0" xfId="0" applyFont="1" applyFill="1"/>
    <xf numFmtId="0" fontId="3" fillId="6" borderId="0" xfId="0" applyFont="1" applyFill="1"/>
    <xf numFmtId="0" fontId="0" fillId="6" borderId="0" xfId="0" applyFill="1"/>
    <xf numFmtId="0" fontId="0" fillId="2" borderId="0" xfId="0" applyFill="1" applyAlignment="1">
      <alignment horizontal="center" vertical="center"/>
    </xf>
    <xf numFmtId="0" fontId="0" fillId="5" borderId="0" xfId="0" applyFill="1" applyAlignment="1">
      <alignment horizontal="center" vertical="center"/>
    </xf>
    <xf numFmtId="0" fontId="3" fillId="0" borderId="0" xfId="0" applyFont="1" applyFill="1"/>
    <xf numFmtId="0" fontId="0" fillId="0" borderId="0" xfId="0" applyFill="1"/>
    <xf numFmtId="0" fontId="10" fillId="0" borderId="0" xfId="7" applyFont="1" applyAlignment="1">
      <alignment horizontal="center"/>
    </xf>
    <xf numFmtId="0" fontId="0" fillId="0" borderId="0" xfId="0" applyFill="1" applyAlignment="1">
      <alignment horizontal="center"/>
    </xf>
    <xf numFmtId="0" fontId="5" fillId="0" borderId="0" xfId="0" applyFont="1" applyFill="1" applyAlignment="1">
      <alignment horizontal="center"/>
    </xf>
    <xf numFmtId="0" fontId="0" fillId="0" borderId="0" xfId="0" applyFill="1"/>
    <xf numFmtId="0" fontId="0" fillId="0" borderId="0" xfId="0" applyFill="1" applyAlignment="1">
      <alignment horizontal="center"/>
    </xf>
    <xf numFmtId="0" fontId="0" fillId="0" borderId="0" xfId="0"/>
    <xf numFmtId="0" fontId="0" fillId="0" borderId="0" xfId="0" applyFill="1" applyAlignment="1">
      <alignment horizontal="center"/>
    </xf>
    <xf numFmtId="0" fontId="5" fillId="0" borderId="0" xfId="0" applyFont="1" applyFill="1" applyAlignment="1">
      <alignment horizontal="center"/>
    </xf>
    <xf numFmtId="0" fontId="11" fillId="0" borderId="0" xfId="0" applyFont="1" applyFill="1" applyAlignment="1">
      <alignment horizontal="center"/>
    </xf>
    <xf numFmtId="0" fontId="13" fillId="0" borderId="0" xfId="0" applyFont="1" applyFill="1" applyAlignment="1">
      <alignment horizontal="center"/>
    </xf>
    <xf numFmtId="0" fontId="3" fillId="0" borderId="0" xfId="0" applyFont="1" applyFill="1" applyAlignment="1">
      <alignment horizontal="center"/>
    </xf>
    <xf numFmtId="0" fontId="0" fillId="0" borderId="0" xfId="0" applyFill="1"/>
    <xf numFmtId="0" fontId="0" fillId="0" borderId="0" xfId="0" applyFill="1" applyAlignment="1">
      <alignment horizontal="center"/>
    </xf>
    <xf numFmtId="0" fontId="0" fillId="0" borderId="0" xfId="0" applyFill="1" applyAlignment="1">
      <alignment horizontal="center"/>
    </xf>
    <xf numFmtId="0" fontId="5" fillId="0" borderId="0" xfId="0" applyFont="1" applyFill="1" applyAlignment="1">
      <alignment horizontal="center"/>
    </xf>
    <xf numFmtId="0" fontId="0" fillId="0" borderId="0" xfId="0" applyAlignment="1">
      <alignment horizontal="center"/>
    </xf>
    <xf numFmtId="0" fontId="0" fillId="0" borderId="4" xfId="0" applyBorder="1" applyAlignment="1">
      <alignment horizontal="center"/>
    </xf>
    <xf numFmtId="0" fontId="3" fillId="0" borderId="0" xfId="0" applyFont="1" applyFill="1" applyAlignment="1">
      <alignment horizontal="center"/>
    </xf>
    <xf numFmtId="0" fontId="3" fillId="0" borderId="0" xfId="0" applyFont="1" applyFill="1"/>
    <xf numFmtId="0" fontId="11" fillId="0" borderId="0" xfId="0" applyFont="1" applyFill="1" applyAlignment="1">
      <alignment horizontal="center"/>
    </xf>
    <xf numFmtId="0" fontId="0" fillId="0" borderId="0" xfId="0" applyFill="1"/>
    <xf numFmtId="0" fontId="0" fillId="0" borderId="0" xfId="0"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0" fontId="0" fillId="0" borderId="0" xfId="0" applyFill="1"/>
    <xf numFmtId="0" fontId="0" fillId="0" borderId="0" xfId="0" applyFill="1" applyAlignment="1">
      <alignment horizontal="center"/>
    </xf>
    <xf numFmtId="0" fontId="5" fillId="0" borderId="0" xfId="0" applyFont="1" applyFill="1" applyAlignment="1">
      <alignment horizontal="center"/>
    </xf>
    <xf numFmtId="0" fontId="0" fillId="0" borderId="0" xfId="0" applyFill="1"/>
    <xf numFmtId="0" fontId="0" fillId="0" borderId="0" xfId="0" applyFill="1" applyAlignment="1">
      <alignment horizontal="center"/>
    </xf>
    <xf numFmtId="0" fontId="5" fillId="0" borderId="0" xfId="0" applyFont="1" applyFill="1" applyAlignment="1">
      <alignment horizontal="center"/>
    </xf>
    <xf numFmtId="0" fontId="0" fillId="0" borderId="0" xfId="0" applyFill="1"/>
    <xf numFmtId="0" fontId="0" fillId="0" borderId="0" xfId="0" applyFill="1" applyAlignment="1">
      <alignment horizontal="center"/>
    </xf>
    <xf numFmtId="0" fontId="5" fillId="0" borderId="0" xfId="0" applyFont="1" applyFill="1" applyAlignment="1">
      <alignment horizontal="center"/>
    </xf>
    <xf numFmtId="0" fontId="0" fillId="0" borderId="0" xfId="0" applyFill="1"/>
    <xf numFmtId="0" fontId="0" fillId="0" borderId="0" xfId="0" applyFill="1" applyAlignment="1">
      <alignment horizontal="center"/>
    </xf>
    <xf numFmtId="0" fontId="5" fillId="0" borderId="0" xfId="0" applyFont="1" applyFill="1" applyAlignment="1">
      <alignment horizontal="center"/>
    </xf>
    <xf numFmtId="0" fontId="0" fillId="0" borderId="0" xfId="0" applyFill="1"/>
    <xf numFmtId="0" fontId="0" fillId="0" borderId="0" xfId="0" applyFill="1" applyAlignment="1">
      <alignment horizontal="center"/>
    </xf>
    <xf numFmtId="0" fontId="5" fillId="0" borderId="0" xfId="0" applyFont="1" applyFill="1" applyAlignment="1">
      <alignment horizontal="center"/>
    </xf>
    <xf numFmtId="0" fontId="0" fillId="0" borderId="4" xfId="0" applyBorder="1" applyAlignment="1">
      <alignment horizontal="center"/>
    </xf>
    <xf numFmtId="0" fontId="0" fillId="0" borderId="0" xfId="0" applyFill="1" applyAlignment="1">
      <alignment horizontal="center"/>
    </xf>
    <xf numFmtId="0" fontId="5" fillId="0" borderId="0" xfId="0" applyFont="1" applyFill="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2" xfId="0" applyBorder="1" applyAlignment="1">
      <alignment horizontal="center"/>
    </xf>
  </cellXfs>
  <cellStyles count="16">
    <cellStyle name="Followed Hyperlink" xfId="6" builtinId="9" hidden="1"/>
    <cellStyle name="Hyperlink" xfId="5" builtinId="8" hidden="1"/>
    <cellStyle name="Normal" xfId="0" builtinId="0"/>
    <cellStyle name="Normal 2" xfId="1"/>
    <cellStyle name="Normal 2 2" xfId="3"/>
    <cellStyle name="Normal 2 2 2" xfId="13"/>
    <cellStyle name="Normal 3" xfId="2"/>
    <cellStyle name="Normal 3 2" xfId="4"/>
    <cellStyle name="Normal 3 2 2" xfId="15"/>
    <cellStyle name="Normal 3 3" xfId="14"/>
    <cellStyle name="Normal 4" xfId="7"/>
    <cellStyle name="Normal 5" xfId="8"/>
    <cellStyle name="Normal 5 2" xfId="11"/>
    <cellStyle name="Normal 6" xfId="12"/>
    <cellStyle name="TableStyleLight1" xfId="9"/>
    <cellStyle name="TableStyleLight1 2" xfId="10"/>
  </cellStyles>
  <dxfs count="24">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Z31"/>
  <sheetViews>
    <sheetView zoomScale="115" zoomScaleNormal="115" workbookViewId="0">
      <pane xSplit="1" ySplit="4" topLeftCell="P5" activePane="bottomRight" state="frozen"/>
      <selection pane="topRight" activeCell="B1" sqref="B1"/>
      <selection pane="bottomLeft" activeCell="A5" sqref="A5"/>
      <selection pane="bottomRight" activeCell="V1" activeCellId="1" sqref="S1:S1048576 V1:V1048576"/>
    </sheetView>
  </sheetViews>
  <sheetFormatPr defaultColWidth="12.6640625" defaultRowHeight="14.4"/>
  <cols>
    <col min="1" max="1" width="14.5546875" customWidth="1"/>
    <col min="16" max="16" width="12.6640625" style="25"/>
    <col min="17" max="18" width="12.6640625" style="40"/>
    <col min="26" max="29" width="12.6640625" style="25"/>
    <col min="36" max="39" width="12.6640625" style="25"/>
    <col min="61" max="61" width="12.6640625" style="40"/>
    <col min="66" max="66" width="12.6640625" style="40"/>
    <col min="69" max="69" width="12.6640625" style="40"/>
    <col min="72" max="72" width="12.6640625" style="40"/>
    <col min="83" max="83" width="12.6640625" style="15"/>
    <col min="89" max="89" width="12.6640625" style="15"/>
    <col min="107" max="107" width="12.6640625" style="40"/>
    <col min="127" max="127" width="12.6640625" style="25"/>
    <col min="128" max="128" width="12.6640625" style="40"/>
    <col min="129" max="130" width="12.6640625" style="25"/>
  </cols>
  <sheetData>
    <row r="1" spans="1:130">
      <c r="A1" s="15" t="s">
        <v>313</v>
      </c>
      <c r="B1" s="9"/>
      <c r="C1" s="15"/>
      <c r="D1" s="15"/>
      <c r="E1" s="15"/>
      <c r="F1" s="15"/>
      <c r="G1" s="15"/>
      <c r="H1" s="15"/>
      <c r="I1" s="15" t="s">
        <v>295</v>
      </c>
      <c r="J1" s="15" t="s">
        <v>295</v>
      </c>
      <c r="K1" s="15" t="s">
        <v>295</v>
      </c>
      <c r="L1" s="15"/>
      <c r="M1" s="15"/>
      <c r="N1" s="15"/>
      <c r="O1" s="15"/>
      <c r="S1" s="15"/>
      <c r="T1" s="15"/>
      <c r="U1" s="15"/>
      <c r="V1" s="15"/>
      <c r="W1" s="15"/>
      <c r="X1" s="15"/>
      <c r="Y1" s="15"/>
      <c r="AD1" s="15"/>
      <c r="AE1" s="15"/>
      <c r="AF1" s="15"/>
      <c r="AG1" s="15"/>
      <c r="AH1" s="15"/>
      <c r="AI1" s="15"/>
      <c r="AN1" s="15"/>
      <c r="AO1" s="15"/>
      <c r="AP1" s="15"/>
      <c r="AQ1" s="15"/>
      <c r="AR1" s="15"/>
      <c r="AS1" s="15"/>
      <c r="AT1" s="15"/>
      <c r="AU1" s="15"/>
      <c r="AV1" s="15"/>
      <c r="AW1" s="15"/>
      <c r="AX1" s="15"/>
      <c r="AY1" s="15"/>
      <c r="AZ1" s="15"/>
      <c r="BA1" s="15"/>
      <c r="BB1" s="15"/>
      <c r="BC1" s="15"/>
      <c r="BD1" s="15"/>
      <c r="BE1" s="15"/>
      <c r="BF1" s="15"/>
      <c r="BG1" s="15"/>
      <c r="BH1" s="15"/>
      <c r="BJ1" s="15"/>
      <c r="BK1" s="15"/>
      <c r="BL1" s="15"/>
      <c r="BM1" s="15"/>
      <c r="BO1" s="15"/>
      <c r="BP1" s="15"/>
      <c r="BR1" s="15"/>
      <c r="BS1" s="15"/>
      <c r="BU1" s="15"/>
      <c r="BV1" s="15"/>
      <c r="BW1" s="15"/>
      <c r="BX1" s="15"/>
      <c r="BY1" s="15"/>
      <c r="BZ1" s="15"/>
      <c r="CA1" s="15"/>
      <c r="CB1" s="15"/>
      <c r="CC1" s="15"/>
      <c r="CD1" s="15"/>
      <c r="CF1" s="15"/>
      <c r="CG1" s="15"/>
      <c r="CH1" s="15"/>
      <c r="CI1" s="15"/>
      <c r="CJ1" s="15"/>
      <c r="CL1" s="15"/>
      <c r="CM1" s="15"/>
      <c r="CN1" s="15"/>
      <c r="CO1" s="15"/>
      <c r="CP1" s="15"/>
      <c r="CQ1" s="15"/>
      <c r="CR1" s="15"/>
      <c r="CS1" s="15"/>
      <c r="CT1" s="15"/>
      <c r="CU1" s="15"/>
      <c r="CV1" s="15"/>
      <c r="CW1" s="15"/>
      <c r="CX1" s="15"/>
      <c r="CY1" s="15"/>
      <c r="CZ1" s="15"/>
      <c r="DA1" s="15"/>
      <c r="DB1" s="15"/>
      <c r="DD1" s="15"/>
      <c r="DE1" s="15"/>
      <c r="DF1" s="15"/>
      <c r="DG1" s="15"/>
      <c r="DH1" s="15"/>
      <c r="DI1" s="15"/>
      <c r="DJ1" s="15"/>
      <c r="DK1" s="15"/>
      <c r="DL1" s="15"/>
      <c r="DM1" s="15"/>
      <c r="DN1" s="15"/>
      <c r="DO1" s="15"/>
      <c r="DP1" s="15"/>
      <c r="DQ1" s="15"/>
      <c r="DR1" s="15"/>
      <c r="DS1" s="15"/>
      <c r="DT1" s="15"/>
      <c r="DU1" s="15"/>
      <c r="DV1" s="15"/>
    </row>
    <row r="2" spans="1:130">
      <c r="A2" s="8"/>
      <c r="B2" s="10"/>
      <c r="C2" s="77" t="s">
        <v>117</v>
      </c>
      <c r="D2" s="78"/>
      <c r="E2" s="78"/>
      <c r="F2" s="78"/>
      <c r="G2" s="78"/>
      <c r="H2" s="78"/>
      <c r="I2" s="78"/>
      <c r="J2" s="78"/>
      <c r="K2" s="78"/>
      <c r="L2" s="78"/>
      <c r="M2" s="78"/>
      <c r="N2" s="78"/>
      <c r="O2" s="78"/>
      <c r="P2" s="24"/>
      <c r="Q2" s="51"/>
      <c r="R2" s="51"/>
      <c r="S2" s="77" t="s">
        <v>86</v>
      </c>
      <c r="T2" s="78"/>
      <c r="U2" s="78"/>
      <c r="V2" s="78"/>
      <c r="W2" s="78"/>
      <c r="X2" s="78"/>
      <c r="Y2" s="78"/>
      <c r="Z2" s="78"/>
      <c r="AA2" s="78"/>
      <c r="AB2" s="78"/>
      <c r="AC2" s="79"/>
      <c r="AD2" s="77" t="s">
        <v>87</v>
      </c>
      <c r="AE2" s="78"/>
      <c r="AF2" s="78"/>
      <c r="AG2" s="78"/>
      <c r="AH2" s="78"/>
      <c r="AI2" s="78"/>
      <c r="AJ2" s="78"/>
      <c r="AK2" s="78"/>
      <c r="AL2" s="78"/>
      <c r="AM2" s="79"/>
      <c r="AN2" s="77" t="s">
        <v>89</v>
      </c>
      <c r="AO2" s="78"/>
      <c r="AP2" s="78"/>
      <c r="AQ2" s="78"/>
      <c r="AR2" s="78"/>
      <c r="AS2" s="78"/>
      <c r="AT2" s="78"/>
      <c r="AU2" s="78"/>
      <c r="AV2" s="78"/>
      <c r="AW2" s="78"/>
      <c r="AX2" s="79"/>
      <c r="AY2" s="77" t="s">
        <v>15</v>
      </c>
      <c r="AZ2" s="78"/>
      <c r="BA2" s="78"/>
      <c r="BB2" s="78"/>
      <c r="BC2" s="78"/>
      <c r="BD2" s="78"/>
      <c r="BE2" s="78"/>
      <c r="BF2" s="79"/>
      <c r="BG2" s="77" t="s">
        <v>204</v>
      </c>
      <c r="BH2" s="78"/>
      <c r="BI2" s="78"/>
      <c r="BJ2" s="78"/>
      <c r="BK2" s="78"/>
      <c r="BL2" s="78"/>
      <c r="BM2" s="79"/>
      <c r="BN2" s="74"/>
      <c r="BO2" s="77" t="s">
        <v>16</v>
      </c>
      <c r="BP2" s="78"/>
      <c r="BQ2" s="78"/>
      <c r="BR2" s="78"/>
      <c r="BS2" s="78"/>
      <c r="BT2" s="78"/>
      <c r="BU2" s="78"/>
      <c r="BV2" s="78"/>
      <c r="BW2" s="78"/>
      <c r="BX2" s="78"/>
      <c r="BY2" s="78"/>
      <c r="BZ2" s="78"/>
      <c r="CA2" s="78"/>
      <c r="CB2" s="78"/>
      <c r="CC2" s="78"/>
      <c r="CD2" s="78"/>
      <c r="CE2" s="78"/>
      <c r="CF2" s="78"/>
      <c r="CG2" s="78"/>
      <c r="CH2" s="78"/>
      <c r="CI2" s="78"/>
      <c r="CJ2" s="78"/>
      <c r="CK2" s="78"/>
      <c r="CL2" s="78"/>
      <c r="CM2" s="78"/>
      <c r="CN2" s="79"/>
      <c r="CO2" s="77" t="s">
        <v>133</v>
      </c>
      <c r="CP2" s="78"/>
      <c r="CQ2" s="78"/>
      <c r="CR2" s="78"/>
      <c r="CS2" s="78"/>
      <c r="CT2" s="78"/>
      <c r="CU2" s="78"/>
      <c r="CV2" s="78"/>
      <c r="CW2" s="78"/>
      <c r="CX2" s="78"/>
      <c r="CY2" s="78"/>
      <c r="CZ2" s="78"/>
      <c r="DA2" s="78"/>
      <c r="DB2" s="78"/>
      <c r="DC2" s="78"/>
      <c r="DD2" s="78"/>
      <c r="DE2" s="78"/>
      <c r="DF2" s="78"/>
      <c r="DG2" s="78"/>
      <c r="DH2" s="78"/>
      <c r="DI2" s="78"/>
      <c r="DJ2" s="78"/>
      <c r="DK2" s="78"/>
      <c r="DL2" s="78"/>
      <c r="DM2" s="79"/>
      <c r="DN2" s="8" t="s">
        <v>23</v>
      </c>
      <c r="DO2" s="8" t="s">
        <v>59</v>
      </c>
      <c r="DP2" s="77" t="s">
        <v>20</v>
      </c>
      <c r="DQ2" s="78"/>
      <c r="DR2" s="78"/>
      <c r="DS2" s="79"/>
      <c r="DT2" s="80" t="s">
        <v>134</v>
      </c>
      <c r="DU2" s="80"/>
      <c r="DV2" s="80"/>
      <c r="DW2" s="77" t="s">
        <v>289</v>
      </c>
      <c r="DX2" s="78"/>
      <c r="DY2" s="78"/>
      <c r="DZ2" s="79"/>
    </row>
    <row r="3" spans="1:130">
      <c r="A3" s="1"/>
      <c r="B3" s="11"/>
      <c r="C3" s="1" t="s">
        <v>1</v>
      </c>
      <c r="D3" s="1" t="s">
        <v>2</v>
      </c>
      <c r="E3" s="1" t="s">
        <v>3</v>
      </c>
      <c r="F3" s="1" t="s">
        <v>4</v>
      </c>
      <c r="G3" s="1" t="s">
        <v>5</v>
      </c>
      <c r="H3" s="1" t="s">
        <v>41</v>
      </c>
      <c r="I3" s="1" t="s">
        <v>58</v>
      </c>
      <c r="J3" s="1" t="s">
        <v>158</v>
      </c>
      <c r="K3" s="1" t="s">
        <v>42</v>
      </c>
      <c r="L3" s="1" t="s">
        <v>136</v>
      </c>
      <c r="M3" s="1" t="s">
        <v>40</v>
      </c>
      <c r="N3" s="1" t="s">
        <v>165</v>
      </c>
      <c r="O3" s="1" t="s">
        <v>179</v>
      </c>
      <c r="P3" s="1" t="s">
        <v>268</v>
      </c>
      <c r="Q3" s="1" t="s">
        <v>307</v>
      </c>
      <c r="R3" s="1" t="s">
        <v>308</v>
      </c>
      <c r="S3" s="1" t="s">
        <v>6</v>
      </c>
      <c r="T3" s="1" t="s">
        <v>7</v>
      </c>
      <c r="U3" s="1" t="s">
        <v>8</v>
      </c>
      <c r="V3" s="1" t="s">
        <v>37</v>
      </c>
      <c r="W3" s="1" t="s">
        <v>38</v>
      </c>
      <c r="X3" s="1" t="s">
        <v>39</v>
      </c>
      <c r="Y3" s="1" t="s">
        <v>193</v>
      </c>
      <c r="Z3" s="1" t="s">
        <v>271</v>
      </c>
      <c r="AA3" s="1" t="s">
        <v>272</v>
      </c>
      <c r="AB3" s="1" t="s">
        <v>273</v>
      </c>
      <c r="AC3" s="1" t="s">
        <v>274</v>
      </c>
      <c r="AD3" s="1" t="s">
        <v>9</v>
      </c>
      <c r="AE3" s="1" t="s">
        <v>10</v>
      </c>
      <c r="AF3" s="1" t="s">
        <v>11</v>
      </c>
      <c r="AG3" s="1" t="s">
        <v>12</v>
      </c>
      <c r="AH3" s="1" t="s">
        <v>13</v>
      </c>
      <c r="AI3" s="1" t="s">
        <v>14</v>
      </c>
      <c r="AJ3" s="1" t="s">
        <v>279</v>
      </c>
      <c r="AK3" s="1" t="s">
        <v>280</v>
      </c>
      <c r="AL3" s="1" t="s">
        <v>281</v>
      </c>
      <c r="AM3" s="1" t="s">
        <v>282</v>
      </c>
      <c r="AN3" s="1" t="s">
        <v>127</v>
      </c>
      <c r="AO3" s="1" t="s">
        <v>129</v>
      </c>
      <c r="AP3" s="1" t="s">
        <v>130</v>
      </c>
      <c r="AQ3" s="1" t="s">
        <v>157</v>
      </c>
      <c r="AR3" s="1" t="s">
        <v>137</v>
      </c>
      <c r="AS3" s="1" t="s">
        <v>64</v>
      </c>
      <c r="AT3" s="1" t="s">
        <v>205</v>
      </c>
      <c r="AU3" s="1" t="s">
        <v>205</v>
      </c>
      <c r="AV3" s="1" t="s">
        <v>90</v>
      </c>
      <c r="AW3" s="1" t="s">
        <v>91</v>
      </c>
      <c r="AX3" s="1" t="s">
        <v>180</v>
      </c>
      <c r="AY3" s="20" t="s">
        <v>48</v>
      </c>
      <c r="AZ3" s="1" t="s">
        <v>49</v>
      </c>
      <c r="BA3" s="1" t="s">
        <v>50</v>
      </c>
      <c r="BB3" s="1" t="s">
        <v>51</v>
      </c>
      <c r="BC3" s="1" t="s">
        <v>52</v>
      </c>
      <c r="BD3" s="1" t="s">
        <v>47</v>
      </c>
      <c r="BE3" s="1" t="s">
        <v>46</v>
      </c>
      <c r="BF3" s="1" t="s">
        <v>139</v>
      </c>
      <c r="BG3" s="1" t="s">
        <v>192</v>
      </c>
      <c r="BH3" s="1" t="s">
        <v>206</v>
      </c>
      <c r="BI3" s="1" t="s">
        <v>296</v>
      </c>
      <c r="BJ3" s="1" t="s">
        <v>207</v>
      </c>
      <c r="BK3" s="1" t="s">
        <v>208</v>
      </c>
      <c r="BL3" s="1" t="s">
        <v>209</v>
      </c>
      <c r="BM3" s="1" t="s">
        <v>210</v>
      </c>
      <c r="BN3" s="1" t="s">
        <v>337</v>
      </c>
      <c r="BO3" s="1" t="s">
        <v>54</v>
      </c>
      <c r="BP3" s="1" t="s">
        <v>55</v>
      </c>
      <c r="BQ3" s="1" t="s">
        <v>299</v>
      </c>
      <c r="BR3" s="1" t="s">
        <v>211</v>
      </c>
      <c r="BS3" s="1" t="s">
        <v>212</v>
      </c>
      <c r="BT3" s="1" t="s">
        <v>335</v>
      </c>
      <c r="BU3" s="1" t="s">
        <v>213</v>
      </c>
      <c r="BV3" s="1" t="s">
        <v>214</v>
      </c>
      <c r="BW3" s="1" t="s">
        <v>187</v>
      </c>
      <c r="BX3" s="1" t="s">
        <v>160</v>
      </c>
      <c r="BY3" s="1" t="s">
        <v>57</v>
      </c>
      <c r="BZ3" s="1" t="s">
        <v>167</v>
      </c>
      <c r="CA3" s="1" t="s">
        <v>56</v>
      </c>
      <c r="CB3" s="1" t="s">
        <v>162</v>
      </c>
      <c r="CC3" s="1" t="s">
        <v>169</v>
      </c>
      <c r="CD3" s="1" t="s">
        <v>53</v>
      </c>
      <c r="CE3" s="1" t="s">
        <v>174</v>
      </c>
      <c r="CF3" s="1" t="s">
        <v>175</v>
      </c>
      <c r="CG3" s="1" t="s">
        <v>176</v>
      </c>
      <c r="CH3" s="1" t="s">
        <v>177</v>
      </c>
      <c r="CI3" s="1" t="s">
        <v>287</v>
      </c>
      <c r="CJ3" s="1" t="s">
        <v>288</v>
      </c>
      <c r="CK3" s="1" t="s">
        <v>215</v>
      </c>
      <c r="CL3" s="1" t="s">
        <v>216</v>
      </c>
      <c r="CM3" s="1" t="s">
        <v>217</v>
      </c>
      <c r="CN3" s="1" t="s">
        <v>218</v>
      </c>
      <c r="CO3" s="1" t="s">
        <v>26</v>
      </c>
      <c r="CP3" s="1" t="s">
        <v>27</v>
      </c>
      <c r="CQ3" s="1" t="s">
        <v>25</v>
      </c>
      <c r="CR3" s="1" t="s">
        <v>43</v>
      </c>
      <c r="CS3" s="1" t="s">
        <v>140</v>
      </c>
      <c r="CT3" s="1" t="s">
        <v>219</v>
      </c>
      <c r="CU3" s="1" t="s">
        <v>28</v>
      </c>
      <c r="CV3" s="1" t="s">
        <v>29</v>
      </c>
      <c r="CW3" s="1" t="s">
        <v>141</v>
      </c>
      <c r="CX3" s="1" t="s">
        <v>31</v>
      </c>
      <c r="CY3" s="1" t="s">
        <v>30</v>
      </c>
      <c r="CZ3" s="1" t="s">
        <v>21</v>
      </c>
      <c r="DA3" s="1" t="s">
        <v>22</v>
      </c>
      <c r="DB3" s="1" t="s">
        <v>142</v>
      </c>
      <c r="DC3" s="1" t="s">
        <v>301</v>
      </c>
      <c r="DD3" s="1" t="s">
        <v>220</v>
      </c>
      <c r="DE3" s="1" t="s">
        <v>184</v>
      </c>
      <c r="DF3" s="1" t="s">
        <v>143</v>
      </c>
      <c r="DG3" s="1" t="s">
        <v>63</v>
      </c>
      <c r="DH3" s="1" t="s">
        <v>62</v>
      </c>
      <c r="DI3" s="1" t="s">
        <v>44</v>
      </c>
      <c r="DJ3" s="1" t="s">
        <v>45</v>
      </c>
      <c r="DK3" s="1" t="s">
        <v>32</v>
      </c>
      <c r="DL3" s="1" t="s">
        <v>34</v>
      </c>
      <c r="DM3" s="1" t="s">
        <v>185</v>
      </c>
      <c r="DN3" s="1" t="s">
        <v>60</v>
      </c>
      <c r="DO3" s="1" t="s">
        <v>61</v>
      </c>
      <c r="DP3" s="1"/>
      <c r="DQ3" s="1"/>
      <c r="DR3" s="1"/>
      <c r="DS3" s="1"/>
      <c r="DT3" s="1" t="s">
        <v>95</v>
      </c>
      <c r="DU3" s="1" t="s">
        <v>96</v>
      </c>
      <c r="DV3" s="1" t="s">
        <v>97</v>
      </c>
      <c r="DW3" s="31" t="s">
        <v>290</v>
      </c>
      <c r="DX3" s="31" t="s">
        <v>303</v>
      </c>
      <c r="DY3" s="31" t="s">
        <v>138</v>
      </c>
      <c r="DZ3" s="31" t="s">
        <v>183</v>
      </c>
    </row>
    <row r="4" spans="1:130">
      <c r="A4" s="13" t="s">
        <v>0</v>
      </c>
      <c r="B4" s="14" t="s">
        <v>36</v>
      </c>
      <c r="C4" s="18" t="s">
        <v>293</v>
      </c>
      <c r="D4" s="18" t="s">
        <v>294</v>
      </c>
      <c r="E4" s="18" t="s">
        <v>194</v>
      </c>
      <c r="F4" s="18" t="s">
        <v>195</v>
      </c>
      <c r="G4" s="18" t="s">
        <v>196</v>
      </c>
      <c r="H4" s="18" t="s">
        <v>123</v>
      </c>
      <c r="I4" s="18" t="s">
        <v>267</v>
      </c>
      <c r="J4" s="18" t="s">
        <v>159</v>
      </c>
      <c r="K4" s="18" t="s">
        <v>122</v>
      </c>
      <c r="L4" s="18" t="s">
        <v>124</v>
      </c>
      <c r="M4" s="18" t="s">
        <v>125</v>
      </c>
      <c r="N4" s="18" t="s">
        <v>164</v>
      </c>
      <c r="O4" s="18" t="s">
        <v>178</v>
      </c>
      <c r="P4" s="18" t="s">
        <v>269</v>
      </c>
      <c r="Q4" s="18" t="s">
        <v>305</v>
      </c>
      <c r="R4" s="18" t="s">
        <v>306</v>
      </c>
      <c r="S4" s="18" t="s">
        <v>221</v>
      </c>
      <c r="T4" s="18" t="s">
        <v>222</v>
      </c>
      <c r="U4" s="18" t="s">
        <v>223</v>
      </c>
      <c r="V4" s="18" t="s">
        <v>224</v>
      </c>
      <c r="W4" s="18" t="s">
        <v>225</v>
      </c>
      <c r="X4" s="18" t="s">
        <v>226</v>
      </c>
      <c r="Y4" s="18" t="s">
        <v>227</v>
      </c>
      <c r="Z4" s="28" t="s">
        <v>275</v>
      </c>
      <c r="AA4" s="29" t="s">
        <v>276</v>
      </c>
      <c r="AB4" s="29" t="s">
        <v>277</v>
      </c>
      <c r="AC4" s="29" t="s">
        <v>278</v>
      </c>
      <c r="AD4" s="18" t="s">
        <v>189</v>
      </c>
      <c r="AE4" s="18" t="s">
        <v>190</v>
      </c>
      <c r="AF4" s="18" t="s">
        <v>191</v>
      </c>
      <c r="AG4" s="18" t="s">
        <v>98</v>
      </c>
      <c r="AH4" s="18" t="s">
        <v>99</v>
      </c>
      <c r="AI4" s="18" t="s">
        <v>100</v>
      </c>
      <c r="AJ4" s="18" t="s">
        <v>283</v>
      </c>
      <c r="AK4" s="18" t="s">
        <v>284</v>
      </c>
      <c r="AL4" s="30" t="s">
        <v>285</v>
      </c>
      <c r="AM4" s="30" t="s">
        <v>286</v>
      </c>
      <c r="AN4" s="18" t="s">
        <v>128</v>
      </c>
      <c r="AO4" s="18" t="s">
        <v>131</v>
      </c>
      <c r="AP4" s="18" t="s">
        <v>132</v>
      </c>
      <c r="AQ4" s="18" t="s">
        <v>156</v>
      </c>
      <c r="AR4" s="18" t="s">
        <v>144</v>
      </c>
      <c r="AS4" s="18" t="s">
        <v>118</v>
      </c>
      <c r="AT4" s="18" t="s">
        <v>228</v>
      </c>
      <c r="AU4" s="18" t="s">
        <v>229</v>
      </c>
      <c r="AV4" s="18" t="s">
        <v>119</v>
      </c>
      <c r="AW4" s="18" t="s">
        <v>120</v>
      </c>
      <c r="AX4" s="18" t="s">
        <v>181</v>
      </c>
      <c r="AY4" s="18" t="s">
        <v>101</v>
      </c>
      <c r="AZ4" s="18" t="s">
        <v>102</v>
      </c>
      <c r="BA4" s="18" t="s">
        <v>103</v>
      </c>
      <c r="BB4" s="18" t="s">
        <v>104</v>
      </c>
      <c r="BC4" s="18" t="s">
        <v>105</v>
      </c>
      <c r="BD4" s="18" t="s">
        <v>106</v>
      </c>
      <c r="BE4" s="18" t="s">
        <v>107</v>
      </c>
      <c r="BF4" s="18" t="s">
        <v>146</v>
      </c>
      <c r="BG4" s="18" t="s">
        <v>230</v>
      </c>
      <c r="BH4" s="18" t="s">
        <v>231</v>
      </c>
      <c r="BI4" s="18" t="s">
        <v>297</v>
      </c>
      <c r="BJ4" s="18" t="s">
        <v>232</v>
      </c>
      <c r="BK4" s="18" t="s">
        <v>319</v>
      </c>
      <c r="BL4" s="18" t="s">
        <v>320</v>
      </c>
      <c r="BM4" s="18" t="s">
        <v>233</v>
      </c>
      <c r="BN4" s="18" t="s">
        <v>336</v>
      </c>
      <c r="BO4" s="18" t="s">
        <v>108</v>
      </c>
      <c r="BP4" s="18" t="s">
        <v>109</v>
      </c>
      <c r="BQ4" s="18" t="s">
        <v>300</v>
      </c>
      <c r="BR4" s="18" t="s">
        <v>234</v>
      </c>
      <c r="BS4" s="18" t="s">
        <v>235</v>
      </c>
      <c r="BT4" s="18" t="s">
        <v>334</v>
      </c>
      <c r="BU4" s="18" t="s">
        <v>110</v>
      </c>
      <c r="BV4" s="18" t="s">
        <v>111</v>
      </c>
      <c r="BW4" s="18" t="s">
        <v>186</v>
      </c>
      <c r="BX4" s="18" t="s">
        <v>161</v>
      </c>
      <c r="BY4" s="18" t="s">
        <v>112</v>
      </c>
      <c r="BZ4" s="18" t="s">
        <v>166</v>
      </c>
      <c r="CA4" s="18" t="s">
        <v>113</v>
      </c>
      <c r="CB4" s="18" t="s">
        <v>163</v>
      </c>
      <c r="CC4" s="18" t="s">
        <v>168</v>
      </c>
      <c r="CD4" s="18" t="s">
        <v>114</v>
      </c>
      <c r="CE4" s="18" t="s">
        <v>170</v>
      </c>
      <c r="CF4" s="18" t="s">
        <v>171</v>
      </c>
      <c r="CG4" s="18" t="s">
        <v>172</v>
      </c>
      <c r="CH4" s="18" t="s">
        <v>173</v>
      </c>
      <c r="CI4" s="18" t="s">
        <v>199</v>
      </c>
      <c r="CJ4" s="18" t="s">
        <v>200</v>
      </c>
      <c r="CK4" s="18" t="s">
        <v>236</v>
      </c>
      <c r="CL4" s="18" t="s">
        <v>237</v>
      </c>
      <c r="CM4" s="18" t="s">
        <v>238</v>
      </c>
      <c r="CN4" s="18" t="s">
        <v>239</v>
      </c>
      <c r="CO4" s="18" t="s">
        <v>115</v>
      </c>
      <c r="CP4" s="18" t="s">
        <v>116</v>
      </c>
      <c r="CQ4" s="18" t="s">
        <v>240</v>
      </c>
      <c r="CR4" s="18" t="s">
        <v>241</v>
      </c>
      <c r="CS4" s="18" t="s">
        <v>242</v>
      </c>
      <c r="CT4" s="18" t="s">
        <v>243</v>
      </c>
      <c r="CU4" s="18" t="s">
        <v>244</v>
      </c>
      <c r="CV4" s="18" t="s">
        <v>245</v>
      </c>
      <c r="CW4" s="18" t="s">
        <v>246</v>
      </c>
      <c r="CX4" s="18" t="s">
        <v>247</v>
      </c>
      <c r="CY4" s="18" t="s">
        <v>248</v>
      </c>
      <c r="CZ4" s="18" t="s">
        <v>249</v>
      </c>
      <c r="DA4" s="18" t="s">
        <v>250</v>
      </c>
      <c r="DB4" s="18" t="s">
        <v>251</v>
      </c>
      <c r="DC4" s="18" t="s">
        <v>302</v>
      </c>
      <c r="DD4" s="18" t="s">
        <v>252</v>
      </c>
      <c r="DE4" s="18" t="s">
        <v>253</v>
      </c>
      <c r="DF4" s="18" t="s">
        <v>254</v>
      </c>
      <c r="DG4" s="18" t="s">
        <v>255</v>
      </c>
      <c r="DH4" s="18" t="s">
        <v>256</v>
      </c>
      <c r="DI4" s="18" t="s">
        <v>257</v>
      </c>
      <c r="DJ4" s="18" t="s">
        <v>258</v>
      </c>
      <c r="DK4" s="18" t="s">
        <v>259</v>
      </c>
      <c r="DL4" s="18" t="s">
        <v>260</v>
      </c>
      <c r="DM4" s="18" t="s">
        <v>261</v>
      </c>
      <c r="DN4" s="18" t="s">
        <v>88</v>
      </c>
      <c r="DO4" s="18" t="s">
        <v>126</v>
      </c>
      <c r="DP4" s="18" t="s">
        <v>17</v>
      </c>
      <c r="DQ4" s="18" t="s">
        <v>18</v>
      </c>
      <c r="DR4" s="18" t="s">
        <v>19</v>
      </c>
      <c r="DS4" s="18" t="s">
        <v>147</v>
      </c>
      <c r="DT4" s="18" t="s">
        <v>92</v>
      </c>
      <c r="DU4" s="18" t="s">
        <v>93</v>
      </c>
      <c r="DV4" s="18" t="s">
        <v>94</v>
      </c>
      <c r="DW4" s="32" t="s">
        <v>291</v>
      </c>
      <c r="DX4" s="32" t="s">
        <v>304</v>
      </c>
      <c r="DY4" s="32" t="s">
        <v>145</v>
      </c>
      <c r="DZ4" s="32" t="s">
        <v>182</v>
      </c>
    </row>
    <row r="5" spans="1:130">
      <c r="A5" s="21" t="s">
        <v>121</v>
      </c>
      <c r="B5" s="23" t="s">
        <v>24</v>
      </c>
      <c r="C5" s="22" t="s">
        <v>24</v>
      </c>
      <c r="D5" s="22" t="s">
        <v>24</v>
      </c>
      <c r="E5" s="22" t="s">
        <v>24</v>
      </c>
      <c r="F5" s="22" t="s">
        <v>24</v>
      </c>
      <c r="G5" s="22" t="s">
        <v>24</v>
      </c>
      <c r="H5" s="22"/>
      <c r="I5" s="22"/>
      <c r="J5" s="22"/>
      <c r="K5" s="22" t="s">
        <v>24</v>
      </c>
      <c r="L5" s="22" t="s">
        <v>24</v>
      </c>
      <c r="M5" s="22" t="s">
        <v>24</v>
      </c>
      <c r="N5" s="22" t="s">
        <v>24</v>
      </c>
      <c r="O5" s="22"/>
      <c r="P5" s="27"/>
      <c r="Q5" s="48"/>
      <c r="R5" s="48"/>
      <c r="S5" s="22"/>
      <c r="T5" s="22"/>
      <c r="U5" s="22"/>
      <c r="V5" s="22"/>
      <c r="W5" s="22"/>
      <c r="X5" s="22"/>
      <c r="Y5" s="22"/>
      <c r="Z5" s="27"/>
      <c r="AA5" s="27"/>
      <c r="AB5" s="27"/>
      <c r="AC5" s="27"/>
      <c r="AD5" s="22"/>
      <c r="AE5" s="22"/>
      <c r="AF5" s="22"/>
      <c r="AG5" s="22"/>
      <c r="AH5" s="22"/>
      <c r="AI5" s="22"/>
      <c r="AJ5" s="27"/>
      <c r="AK5" s="27"/>
      <c r="AL5" s="27"/>
      <c r="AM5" s="27"/>
      <c r="AN5" s="22"/>
      <c r="AO5" s="22"/>
      <c r="AP5" s="22"/>
      <c r="AQ5" s="22"/>
      <c r="AR5" s="22"/>
      <c r="AS5" s="22"/>
      <c r="AT5" s="22"/>
      <c r="AU5" s="22"/>
      <c r="AV5" s="22"/>
      <c r="AW5" s="22"/>
      <c r="AX5" s="22"/>
      <c r="AY5" s="22"/>
      <c r="AZ5" s="22"/>
      <c r="BA5" s="22"/>
      <c r="BB5" s="22"/>
      <c r="BC5" s="22"/>
      <c r="BD5" s="22"/>
      <c r="BE5" s="22"/>
      <c r="BF5" s="22"/>
      <c r="BG5" s="22"/>
      <c r="BH5" s="22"/>
      <c r="BI5" s="48"/>
      <c r="BJ5" s="22"/>
      <c r="BK5" s="22"/>
      <c r="BL5" s="22"/>
      <c r="BM5" s="22"/>
      <c r="BN5" s="72" t="s">
        <v>24</v>
      </c>
      <c r="BO5" s="22" t="s">
        <v>24</v>
      </c>
      <c r="BP5" s="22" t="s">
        <v>24</v>
      </c>
      <c r="BQ5" s="48" t="s">
        <v>24</v>
      </c>
      <c r="BR5" s="22" t="s">
        <v>24</v>
      </c>
      <c r="BS5" s="22"/>
      <c r="BT5" s="72"/>
      <c r="BU5" s="22" t="s">
        <v>24</v>
      </c>
      <c r="BV5" s="22" t="s">
        <v>24</v>
      </c>
      <c r="BW5" s="22" t="s">
        <v>24</v>
      </c>
      <c r="BX5" s="22" t="s">
        <v>24</v>
      </c>
      <c r="BY5" s="22" t="s">
        <v>24</v>
      </c>
      <c r="BZ5" s="22"/>
      <c r="CA5" s="22" t="s">
        <v>24</v>
      </c>
      <c r="CB5" s="22"/>
      <c r="CC5" s="22"/>
      <c r="CD5" s="22" t="s">
        <v>24</v>
      </c>
      <c r="CE5" s="22" t="s">
        <v>24</v>
      </c>
      <c r="CF5" s="22" t="s">
        <v>24</v>
      </c>
      <c r="CG5" s="22"/>
      <c r="CH5" s="22"/>
      <c r="CI5" s="22" t="s">
        <v>24</v>
      </c>
      <c r="CJ5" s="22"/>
      <c r="CK5" s="22"/>
      <c r="CL5" s="22"/>
      <c r="CM5" s="22"/>
      <c r="CN5" s="22"/>
      <c r="CO5" s="22"/>
      <c r="CP5" s="22"/>
      <c r="CQ5" s="22"/>
      <c r="CR5" s="22"/>
      <c r="CS5" s="22" t="s">
        <v>24</v>
      </c>
      <c r="CT5" s="22"/>
      <c r="CU5" s="22"/>
      <c r="CV5" s="22"/>
      <c r="CW5" s="22"/>
      <c r="CX5" s="22"/>
      <c r="CY5" s="22"/>
      <c r="CZ5" s="22"/>
      <c r="DA5" s="22"/>
      <c r="DB5" s="22"/>
      <c r="DC5" s="48"/>
      <c r="DD5" s="22"/>
      <c r="DE5" s="22"/>
      <c r="DF5" s="22"/>
      <c r="DG5" s="22"/>
      <c r="DH5" s="22"/>
      <c r="DI5" s="22"/>
      <c r="DJ5" s="22"/>
      <c r="DK5" s="22"/>
      <c r="DL5" s="22"/>
      <c r="DM5" s="22"/>
      <c r="DN5" s="22" t="s">
        <v>24</v>
      </c>
      <c r="DO5" s="22"/>
      <c r="DP5" s="22" t="s">
        <v>24</v>
      </c>
      <c r="DQ5" s="22"/>
      <c r="DR5" s="22"/>
      <c r="DS5" s="22" t="s">
        <v>24</v>
      </c>
      <c r="DT5" s="22"/>
      <c r="DU5" s="22"/>
      <c r="DV5" s="48"/>
      <c r="DW5" s="48"/>
      <c r="DX5" s="48"/>
      <c r="DY5" s="48"/>
      <c r="DZ5" s="48"/>
    </row>
    <row r="6" spans="1:130">
      <c r="A6" s="21" t="s">
        <v>35</v>
      </c>
      <c r="B6" s="23" t="s">
        <v>24</v>
      </c>
      <c r="C6" s="22" t="s">
        <v>24</v>
      </c>
      <c r="D6" s="22" t="s">
        <v>24</v>
      </c>
      <c r="E6" s="22" t="s">
        <v>24</v>
      </c>
      <c r="F6" s="22" t="s">
        <v>24</v>
      </c>
      <c r="G6" s="22" t="s">
        <v>24</v>
      </c>
      <c r="H6" s="22"/>
      <c r="I6" s="22"/>
      <c r="J6" s="22" t="s">
        <v>24</v>
      </c>
      <c r="K6" s="22"/>
      <c r="L6" s="22"/>
      <c r="M6" s="22" t="s">
        <v>24</v>
      </c>
      <c r="N6" s="22" t="s">
        <v>24</v>
      </c>
      <c r="O6" s="22"/>
      <c r="P6" s="27"/>
      <c r="Q6" s="48"/>
      <c r="R6" s="48"/>
      <c r="S6" s="22" t="s">
        <v>24</v>
      </c>
      <c r="T6" s="22" t="s">
        <v>24</v>
      </c>
      <c r="U6" s="22"/>
      <c r="V6" s="22" t="s">
        <v>24</v>
      </c>
      <c r="W6" s="22"/>
      <c r="X6" s="22"/>
      <c r="Y6" s="22"/>
      <c r="Z6" s="27"/>
      <c r="AA6" s="27"/>
      <c r="AB6" s="27"/>
      <c r="AC6" s="27"/>
      <c r="AD6" s="22" t="s">
        <v>24</v>
      </c>
      <c r="AE6" s="22"/>
      <c r="AF6" s="22"/>
      <c r="AG6" s="22"/>
      <c r="AH6" s="22"/>
      <c r="AI6" s="22"/>
      <c r="AJ6" s="27"/>
      <c r="AK6" s="27"/>
      <c r="AL6" s="27"/>
      <c r="AM6" s="27"/>
      <c r="AN6" s="22" t="s">
        <v>24</v>
      </c>
      <c r="AO6" s="22"/>
      <c r="AP6" s="22"/>
      <c r="AQ6" s="22" t="s">
        <v>24</v>
      </c>
      <c r="AR6" s="22"/>
      <c r="AS6" s="22"/>
      <c r="AT6" s="22"/>
      <c r="AU6" s="22"/>
      <c r="AV6" s="22"/>
      <c r="AW6" s="22"/>
      <c r="AX6" s="22"/>
      <c r="AY6" s="22"/>
      <c r="AZ6" s="22"/>
      <c r="BA6" s="22"/>
      <c r="BB6" s="22"/>
      <c r="BC6" s="22"/>
      <c r="BD6" s="22"/>
      <c r="BE6" s="22"/>
      <c r="BF6" s="22"/>
      <c r="BG6" s="22"/>
      <c r="BH6" s="22"/>
      <c r="BI6" s="48"/>
      <c r="BJ6" s="22"/>
      <c r="BK6" s="22"/>
      <c r="BL6" s="22"/>
      <c r="BM6" s="22"/>
      <c r="BN6" s="72"/>
      <c r="BO6" s="22" t="s">
        <v>24</v>
      </c>
      <c r="BP6" s="22"/>
      <c r="BQ6" s="48"/>
      <c r="BR6" s="22"/>
      <c r="BS6" s="22"/>
      <c r="BT6" s="72"/>
      <c r="BU6" s="22"/>
      <c r="BV6" s="22"/>
      <c r="BW6" s="22"/>
      <c r="BX6" s="22"/>
      <c r="BY6" s="22"/>
      <c r="BZ6" s="22"/>
      <c r="CA6" s="22"/>
      <c r="CB6" s="22"/>
      <c r="CC6" s="22"/>
      <c r="CD6" s="22"/>
      <c r="CE6" s="22"/>
      <c r="CF6" s="22"/>
      <c r="CG6" s="22"/>
      <c r="CH6" s="22"/>
      <c r="CI6" s="22"/>
      <c r="CJ6" s="22"/>
      <c r="CK6" s="22"/>
      <c r="CL6" s="22"/>
      <c r="CM6" s="22"/>
      <c r="CN6" s="22"/>
      <c r="CO6" s="22"/>
      <c r="CP6" s="22"/>
      <c r="CQ6" s="22"/>
      <c r="CR6" s="22"/>
      <c r="CS6" s="22" t="s">
        <v>24</v>
      </c>
      <c r="CT6" s="22"/>
      <c r="CU6" s="22"/>
      <c r="CV6" s="22"/>
      <c r="CW6" s="22"/>
      <c r="CX6" s="22"/>
      <c r="CY6" s="22"/>
      <c r="CZ6" s="22"/>
      <c r="DA6" s="22"/>
      <c r="DB6" s="22"/>
      <c r="DC6" s="48"/>
      <c r="DD6" s="22"/>
      <c r="DE6" s="22"/>
      <c r="DF6" s="22"/>
      <c r="DG6" s="22"/>
      <c r="DH6" s="22"/>
      <c r="DI6" s="22"/>
      <c r="DJ6" s="22"/>
      <c r="DK6" s="22"/>
      <c r="DL6" s="22"/>
      <c r="DM6" s="22"/>
      <c r="DN6" s="22" t="s">
        <v>24</v>
      </c>
      <c r="DO6" s="22" t="s">
        <v>24</v>
      </c>
      <c r="DP6" s="22" t="s">
        <v>24</v>
      </c>
      <c r="DQ6" s="22" t="s">
        <v>24</v>
      </c>
      <c r="DR6" s="22"/>
      <c r="DS6" s="22"/>
      <c r="DT6" s="22"/>
      <c r="DU6" s="22"/>
      <c r="DV6" s="48"/>
      <c r="DW6" s="48"/>
      <c r="DX6" s="48"/>
      <c r="DY6" s="48"/>
      <c r="DZ6" s="48"/>
    </row>
    <row r="7" spans="1:130" s="25" customFormat="1">
      <c r="A7" s="26" t="s">
        <v>317</v>
      </c>
      <c r="B7" s="42" t="s">
        <v>24</v>
      </c>
      <c r="C7" s="41" t="s">
        <v>24</v>
      </c>
      <c r="D7" s="41" t="s">
        <v>24</v>
      </c>
      <c r="E7" s="41" t="s">
        <v>24</v>
      </c>
      <c r="F7" s="41" t="s">
        <v>24</v>
      </c>
      <c r="G7" s="41" t="s">
        <v>24</v>
      </c>
      <c r="H7" s="41"/>
      <c r="I7" s="41"/>
      <c r="J7" s="41"/>
      <c r="K7" s="41"/>
      <c r="L7" s="41" t="s">
        <v>24</v>
      </c>
      <c r="M7" s="41"/>
      <c r="N7" s="41"/>
      <c r="O7" s="41"/>
      <c r="P7" s="41"/>
      <c r="Q7" s="48"/>
      <c r="R7" s="48"/>
      <c r="S7" s="41"/>
      <c r="T7" s="41"/>
      <c r="U7" s="41"/>
      <c r="V7" s="41" t="s">
        <v>24</v>
      </c>
      <c r="W7" s="41"/>
      <c r="X7" s="41"/>
      <c r="Y7" s="41"/>
      <c r="Z7" s="41"/>
      <c r="AA7" s="41"/>
      <c r="AB7" s="41"/>
      <c r="AC7" s="41"/>
      <c r="AD7" s="41" t="s">
        <v>24</v>
      </c>
      <c r="AE7" s="27" t="s">
        <v>24</v>
      </c>
      <c r="AF7" s="27" t="s">
        <v>24</v>
      </c>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48"/>
      <c r="BJ7" s="27"/>
      <c r="BK7" s="27"/>
      <c r="BL7" s="27"/>
      <c r="BM7" s="27"/>
      <c r="BN7" s="72"/>
      <c r="BO7" s="27"/>
      <c r="BP7" s="27"/>
      <c r="BQ7" s="48"/>
      <c r="BR7" s="27"/>
      <c r="BS7" s="27"/>
      <c r="BT7" s="72"/>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48"/>
      <c r="DD7" s="27"/>
      <c r="DE7" s="27"/>
      <c r="DF7" s="27"/>
      <c r="DG7" s="27"/>
      <c r="DH7" s="27"/>
      <c r="DI7" s="27"/>
      <c r="DJ7" s="27"/>
      <c r="DK7" s="27"/>
      <c r="DL7" s="27"/>
      <c r="DM7" s="27"/>
      <c r="DN7" s="27"/>
      <c r="DO7" s="27"/>
      <c r="DP7" s="27"/>
      <c r="DQ7" s="27"/>
      <c r="DR7" s="27"/>
      <c r="DS7" s="27"/>
      <c r="DT7" s="27"/>
      <c r="DU7" s="27"/>
      <c r="DV7" s="48"/>
      <c r="DW7" s="48"/>
      <c r="DX7" s="48"/>
      <c r="DY7" s="48"/>
      <c r="DZ7" s="48"/>
    </row>
    <row r="8" spans="1:130" s="40" customFormat="1">
      <c r="A8" s="62" t="s">
        <v>292</v>
      </c>
      <c r="B8" s="64" t="s">
        <v>24</v>
      </c>
      <c r="C8" s="63" t="s">
        <v>24</v>
      </c>
      <c r="D8" s="63" t="s">
        <v>24</v>
      </c>
      <c r="E8" s="63" t="s">
        <v>24</v>
      </c>
      <c r="F8" s="63" t="s">
        <v>24</v>
      </c>
      <c r="G8" s="63" t="s">
        <v>24</v>
      </c>
      <c r="H8" s="63"/>
      <c r="I8" s="63"/>
      <c r="J8" s="63"/>
      <c r="K8" s="63" t="s">
        <v>24</v>
      </c>
      <c r="L8" s="63" t="s">
        <v>24</v>
      </c>
      <c r="M8" s="63" t="s">
        <v>24</v>
      </c>
      <c r="N8" s="63"/>
      <c r="O8" s="63"/>
      <c r="P8" s="63"/>
      <c r="Q8" s="63"/>
      <c r="R8" s="63"/>
      <c r="S8" s="63"/>
      <c r="T8" s="63"/>
      <c r="U8" s="63"/>
      <c r="V8" s="63" t="s">
        <v>24</v>
      </c>
      <c r="W8" s="63" t="s">
        <v>24</v>
      </c>
      <c r="X8" s="63" t="s">
        <v>24</v>
      </c>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t="s">
        <v>24</v>
      </c>
      <c r="AZ8" s="63" t="s">
        <v>24</v>
      </c>
      <c r="BA8" s="63" t="s">
        <v>24</v>
      </c>
      <c r="BB8" s="63" t="s">
        <v>24</v>
      </c>
      <c r="BC8" s="63" t="s">
        <v>24</v>
      </c>
      <c r="BD8" s="63"/>
      <c r="BE8" s="63"/>
      <c r="BF8" s="63"/>
      <c r="BG8" s="63"/>
      <c r="BH8" s="63"/>
      <c r="BI8" s="63"/>
      <c r="BJ8" s="63"/>
      <c r="BK8" s="63"/>
      <c r="BL8" s="63"/>
      <c r="BM8" s="63"/>
      <c r="BN8" s="72"/>
      <c r="BO8" s="63" t="s">
        <v>24</v>
      </c>
      <c r="BP8" s="63"/>
      <c r="BQ8" s="63"/>
      <c r="BR8" s="63"/>
      <c r="BS8" s="63"/>
      <c r="BT8" s="72"/>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t="s">
        <v>24</v>
      </c>
      <c r="DQ8" s="41"/>
      <c r="DR8" s="41"/>
      <c r="DS8" s="41"/>
      <c r="DT8" s="41"/>
      <c r="DU8" s="41"/>
      <c r="DV8" s="48"/>
      <c r="DW8" s="48"/>
      <c r="DX8" s="48"/>
      <c r="DY8" s="48"/>
      <c r="DZ8" s="48"/>
    </row>
    <row r="9" spans="1:130">
      <c r="A9" s="21" t="s">
        <v>33</v>
      </c>
      <c r="B9" s="23" t="s">
        <v>24</v>
      </c>
      <c r="C9" s="22" t="s">
        <v>24</v>
      </c>
      <c r="D9" s="22" t="s">
        <v>24</v>
      </c>
      <c r="E9" s="22" t="s">
        <v>24</v>
      </c>
      <c r="F9" s="22" t="s">
        <v>24</v>
      </c>
      <c r="G9" s="22" t="s">
        <v>24</v>
      </c>
      <c r="H9" s="22"/>
      <c r="I9" s="22"/>
      <c r="J9" s="22" t="s">
        <v>24</v>
      </c>
      <c r="K9" s="22" t="s">
        <v>24</v>
      </c>
      <c r="L9" s="22" t="s">
        <v>24</v>
      </c>
      <c r="M9" s="22" t="s">
        <v>24</v>
      </c>
      <c r="N9" s="22" t="s">
        <v>24</v>
      </c>
      <c r="O9" s="22" t="s">
        <v>24</v>
      </c>
      <c r="P9" s="27" t="s">
        <v>24</v>
      </c>
      <c r="Q9" s="48"/>
      <c r="R9" s="48"/>
      <c r="S9" s="22" t="s">
        <v>24</v>
      </c>
      <c r="T9" s="22" t="s">
        <v>24</v>
      </c>
      <c r="U9" s="22" t="s">
        <v>24</v>
      </c>
      <c r="V9" s="22" t="s">
        <v>24</v>
      </c>
      <c r="W9" s="22" t="s">
        <v>24</v>
      </c>
      <c r="X9" s="22" t="s">
        <v>24</v>
      </c>
      <c r="Y9" s="22" t="s">
        <v>24</v>
      </c>
      <c r="Z9" s="27" t="s">
        <v>24</v>
      </c>
      <c r="AA9" s="27" t="s">
        <v>24</v>
      </c>
      <c r="AB9" s="27" t="s">
        <v>24</v>
      </c>
      <c r="AC9" s="27" t="s">
        <v>24</v>
      </c>
      <c r="AD9" s="22" t="s">
        <v>24</v>
      </c>
      <c r="AE9" s="22" t="s">
        <v>24</v>
      </c>
      <c r="AF9" s="22" t="s">
        <v>24</v>
      </c>
      <c r="AG9" s="22"/>
      <c r="AH9" s="22"/>
      <c r="AI9" s="22"/>
      <c r="AJ9" s="27"/>
      <c r="AK9" s="27"/>
      <c r="AL9" s="27"/>
      <c r="AM9" s="27" t="s">
        <v>24</v>
      </c>
      <c r="AN9" s="22"/>
      <c r="AO9" s="22"/>
      <c r="AP9" s="22"/>
      <c r="AQ9" s="22" t="s">
        <v>24</v>
      </c>
      <c r="AR9" s="22"/>
      <c r="AS9" s="22"/>
      <c r="AT9" s="22"/>
      <c r="AU9" s="22"/>
      <c r="AV9" s="22"/>
      <c r="AW9" s="22"/>
      <c r="AX9" s="22"/>
      <c r="AY9" s="22" t="s">
        <v>24</v>
      </c>
      <c r="AZ9" s="22" t="s">
        <v>24</v>
      </c>
      <c r="BA9" s="22" t="s">
        <v>24</v>
      </c>
      <c r="BB9" s="22"/>
      <c r="BC9" s="22"/>
      <c r="BD9" s="22"/>
      <c r="BE9" s="22"/>
      <c r="BF9" s="22" t="s">
        <v>24</v>
      </c>
      <c r="BG9" s="22" t="s">
        <v>24</v>
      </c>
      <c r="BH9" s="22"/>
      <c r="BI9" s="48" t="s">
        <v>298</v>
      </c>
      <c r="BJ9" s="22"/>
      <c r="BK9" s="22" t="s">
        <v>24</v>
      </c>
      <c r="BL9" s="22" t="s">
        <v>24</v>
      </c>
      <c r="BM9" s="22"/>
      <c r="BN9" s="72"/>
      <c r="BO9" s="22"/>
      <c r="BP9" s="22"/>
      <c r="BQ9" s="48"/>
      <c r="BR9" s="22"/>
      <c r="BS9" s="22"/>
      <c r="BT9" s="72"/>
      <c r="BU9" s="22"/>
      <c r="BV9" s="22"/>
      <c r="BW9" s="22"/>
      <c r="BX9" s="22"/>
      <c r="BY9" s="22"/>
      <c r="BZ9" s="22"/>
      <c r="CA9" s="22"/>
      <c r="CB9" s="22"/>
      <c r="CC9" s="22"/>
      <c r="CD9" s="22"/>
      <c r="CE9" s="22"/>
      <c r="CF9" s="22"/>
      <c r="CG9" s="22"/>
      <c r="CH9" s="22"/>
      <c r="CI9" s="22"/>
      <c r="CJ9" s="22"/>
      <c r="CK9" s="22"/>
      <c r="CL9" s="22"/>
      <c r="CM9" s="22"/>
      <c r="CN9" s="22"/>
      <c r="CO9" s="22"/>
      <c r="CP9" s="22"/>
      <c r="CQ9" s="22"/>
      <c r="CR9" s="22"/>
      <c r="CS9" s="22"/>
      <c r="CT9" s="22"/>
      <c r="CU9" s="22"/>
      <c r="CV9" s="22"/>
      <c r="CW9" s="22"/>
      <c r="CX9" s="22"/>
      <c r="CY9" s="22"/>
      <c r="CZ9" s="22"/>
      <c r="DA9" s="22"/>
      <c r="DB9" s="22"/>
      <c r="DC9" s="48"/>
      <c r="DD9" s="22"/>
      <c r="DE9" s="22"/>
      <c r="DF9" s="22"/>
      <c r="DG9" s="22"/>
      <c r="DH9" s="22"/>
      <c r="DI9" s="22"/>
      <c r="DJ9" s="22"/>
      <c r="DK9" s="22"/>
      <c r="DL9" s="22"/>
      <c r="DM9" s="22"/>
      <c r="DN9" s="22" t="s">
        <v>24</v>
      </c>
      <c r="DO9" s="22" t="s">
        <v>24</v>
      </c>
      <c r="DP9" s="22"/>
      <c r="DQ9" s="21"/>
      <c r="DR9" s="21"/>
      <c r="DS9" s="21"/>
      <c r="DT9" s="21"/>
      <c r="DU9" s="21"/>
      <c r="DV9" s="48"/>
      <c r="DW9" s="48"/>
      <c r="DX9" s="48"/>
      <c r="DY9" s="48"/>
      <c r="DZ9" s="48"/>
    </row>
    <row r="10" spans="1:130">
      <c r="A10" s="38" t="s">
        <v>266</v>
      </c>
      <c r="B10" s="49" t="s">
        <v>24</v>
      </c>
      <c r="C10" s="39" t="s">
        <v>24</v>
      </c>
      <c r="D10" s="39" t="s">
        <v>24</v>
      </c>
      <c r="E10" s="39" t="s">
        <v>24</v>
      </c>
      <c r="F10" s="39" t="s">
        <v>24</v>
      </c>
      <c r="G10" s="39" t="s">
        <v>24</v>
      </c>
      <c r="H10" s="39"/>
      <c r="I10" s="39"/>
      <c r="J10" s="48" t="s">
        <v>24</v>
      </c>
      <c r="K10" s="39"/>
      <c r="L10" s="39" t="s">
        <v>24</v>
      </c>
      <c r="M10" s="39" t="s">
        <v>24</v>
      </c>
      <c r="N10" s="39"/>
      <c r="O10" s="39"/>
      <c r="P10" s="39"/>
      <c r="Q10" s="48"/>
      <c r="R10" s="48"/>
      <c r="S10" s="39" t="s">
        <v>24</v>
      </c>
      <c r="T10" s="39" t="s">
        <v>24</v>
      </c>
      <c r="U10" s="39" t="s">
        <v>24</v>
      </c>
      <c r="V10" s="39" t="s">
        <v>24</v>
      </c>
      <c r="W10" s="39" t="s">
        <v>24</v>
      </c>
      <c r="X10" s="39" t="s">
        <v>24</v>
      </c>
      <c r="Y10" s="39"/>
      <c r="Z10" s="39"/>
      <c r="AA10" s="39"/>
      <c r="AB10" s="39"/>
      <c r="AC10" s="39"/>
      <c r="AD10" s="39"/>
      <c r="AE10" s="39"/>
      <c r="AF10" s="39"/>
      <c r="AG10" s="39"/>
      <c r="AH10" s="39"/>
      <c r="AI10" s="39"/>
      <c r="AJ10" s="39"/>
      <c r="AK10" s="39"/>
      <c r="AL10" s="39"/>
      <c r="AM10" s="39"/>
      <c r="AN10" s="39" t="s">
        <v>24</v>
      </c>
      <c r="AO10" s="39"/>
      <c r="AP10" s="39"/>
      <c r="AQ10" s="39"/>
      <c r="AR10" s="39"/>
      <c r="AS10" s="39"/>
      <c r="AT10" s="39"/>
      <c r="AU10" s="39"/>
      <c r="AV10" s="39"/>
      <c r="AW10" s="39"/>
      <c r="AX10" s="39"/>
      <c r="AY10" s="39"/>
      <c r="AZ10" s="39"/>
      <c r="BA10" s="39"/>
      <c r="BB10" s="39"/>
      <c r="BC10" s="39"/>
      <c r="BD10" s="39"/>
      <c r="BE10" s="39"/>
      <c r="BF10" s="39"/>
      <c r="BG10" s="39" t="s">
        <v>24</v>
      </c>
      <c r="BH10" s="39"/>
      <c r="BI10" s="48"/>
      <c r="BJ10" s="39"/>
      <c r="BK10" s="39"/>
      <c r="BL10" s="39"/>
      <c r="BM10" s="39"/>
      <c r="BN10" s="72"/>
      <c r="BO10" s="39" t="s">
        <v>24</v>
      </c>
      <c r="BP10" s="39" t="s">
        <v>24</v>
      </c>
      <c r="BQ10" s="48"/>
      <c r="BR10" s="22" t="s">
        <v>24</v>
      </c>
      <c r="BS10" s="22"/>
      <c r="BT10" s="72"/>
      <c r="BU10" s="22" t="s">
        <v>24</v>
      </c>
      <c r="BV10" s="22"/>
      <c r="BW10" s="22" t="s">
        <v>24</v>
      </c>
      <c r="BX10" s="48" t="s">
        <v>24</v>
      </c>
      <c r="BY10" s="22"/>
      <c r="BZ10" s="22"/>
      <c r="CA10" s="22"/>
      <c r="CB10" s="22"/>
      <c r="CC10" s="22"/>
      <c r="CD10" s="22"/>
      <c r="CE10" s="22"/>
      <c r="CF10" s="22" t="s">
        <v>24</v>
      </c>
      <c r="CG10" s="22"/>
      <c r="CH10" s="22"/>
      <c r="CI10" s="22"/>
      <c r="CJ10" s="22"/>
      <c r="CK10" s="22"/>
      <c r="CL10" s="22"/>
      <c r="CM10" s="22"/>
      <c r="CN10" s="22"/>
      <c r="CO10" s="22"/>
      <c r="CP10" s="22"/>
      <c r="CQ10" s="22"/>
      <c r="CR10" s="22"/>
      <c r="CS10" s="22"/>
      <c r="CT10" s="22"/>
      <c r="CU10" s="22"/>
      <c r="CV10" s="22"/>
      <c r="CW10" s="22"/>
      <c r="CX10" s="22"/>
      <c r="CY10" s="22"/>
      <c r="CZ10" s="22"/>
      <c r="DA10" s="22"/>
      <c r="DB10" s="22"/>
      <c r="DC10" s="48"/>
      <c r="DD10" s="22"/>
      <c r="DE10" s="22"/>
      <c r="DF10" s="22"/>
      <c r="DG10" s="22"/>
      <c r="DH10" s="22"/>
      <c r="DI10" s="22"/>
      <c r="DJ10" s="22"/>
      <c r="DK10" s="22"/>
      <c r="DL10" s="22"/>
      <c r="DM10" s="22"/>
      <c r="DN10" s="22"/>
      <c r="DO10" s="22" t="s">
        <v>24</v>
      </c>
      <c r="DP10" s="22"/>
      <c r="DQ10" s="22"/>
      <c r="DR10" s="22"/>
      <c r="DS10" s="22"/>
      <c r="DT10" s="22"/>
      <c r="DU10" s="22"/>
      <c r="DV10" s="48"/>
      <c r="DW10" s="48"/>
      <c r="DX10" s="48"/>
      <c r="DY10" s="48"/>
      <c r="DZ10" s="48"/>
    </row>
    <row r="11" spans="1:130" s="40" customFormat="1">
      <c r="A11" s="71" t="s">
        <v>333</v>
      </c>
      <c r="B11" s="76" t="s">
        <v>24</v>
      </c>
      <c r="C11" s="75" t="s">
        <v>24</v>
      </c>
      <c r="D11" s="75" t="s">
        <v>24</v>
      </c>
      <c r="E11" s="75" t="s">
        <v>24</v>
      </c>
      <c r="F11" s="75"/>
      <c r="G11" s="75"/>
      <c r="H11" s="75"/>
      <c r="I11" s="75"/>
      <c r="J11" s="75" t="s">
        <v>24</v>
      </c>
      <c r="K11" s="75"/>
      <c r="L11" s="75"/>
      <c r="M11" s="75" t="s">
        <v>24</v>
      </c>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t="s">
        <v>24</v>
      </c>
      <c r="CP11" s="75" t="s">
        <v>24</v>
      </c>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t="s">
        <v>24</v>
      </c>
      <c r="DP11" s="75"/>
      <c r="DQ11" s="75"/>
      <c r="DR11" s="75" t="s">
        <v>24</v>
      </c>
      <c r="DS11" s="75"/>
      <c r="DT11" s="75"/>
      <c r="DU11" s="75"/>
      <c r="DV11" s="75"/>
      <c r="DW11" s="75"/>
      <c r="DX11" s="75"/>
      <c r="DY11" s="75"/>
      <c r="DZ11" s="75"/>
    </row>
    <row r="12" spans="1:130">
      <c r="A12" s="21" t="s">
        <v>197</v>
      </c>
      <c r="B12" s="23"/>
      <c r="C12" s="22" t="s">
        <v>24</v>
      </c>
      <c r="D12" s="22" t="s">
        <v>24</v>
      </c>
      <c r="E12" s="22" t="s">
        <v>24</v>
      </c>
      <c r="F12" s="22" t="s">
        <v>24</v>
      </c>
      <c r="G12" s="22" t="s">
        <v>24</v>
      </c>
      <c r="H12" s="22"/>
      <c r="I12" s="22"/>
      <c r="J12" s="22"/>
      <c r="K12" s="22" t="s">
        <v>24</v>
      </c>
      <c r="L12" s="22" t="s">
        <v>24</v>
      </c>
      <c r="M12" s="22" t="s">
        <v>24</v>
      </c>
      <c r="N12" s="22" t="s">
        <v>24</v>
      </c>
      <c r="O12" s="22"/>
      <c r="P12" s="27"/>
      <c r="Q12" s="48" t="s">
        <v>24</v>
      </c>
      <c r="R12" s="48" t="s">
        <v>24</v>
      </c>
      <c r="S12" s="22"/>
      <c r="T12" s="22"/>
      <c r="U12" s="22"/>
      <c r="V12" s="22"/>
      <c r="W12" s="22"/>
      <c r="X12" s="22"/>
      <c r="Y12" s="22"/>
      <c r="Z12" s="27"/>
      <c r="AA12" s="27"/>
      <c r="AB12" s="27"/>
      <c r="AC12" s="27"/>
      <c r="AD12" s="22"/>
      <c r="AE12" s="22"/>
      <c r="AF12" s="22"/>
      <c r="AG12" s="22"/>
      <c r="AH12" s="22"/>
      <c r="AI12" s="22"/>
      <c r="AJ12" s="27"/>
      <c r="AK12" s="27"/>
      <c r="AL12" s="27"/>
      <c r="AM12" s="27"/>
      <c r="AN12" s="22"/>
      <c r="AO12" s="22"/>
      <c r="AP12" s="22"/>
      <c r="AQ12" s="22"/>
      <c r="AR12" s="22"/>
      <c r="AS12" s="22"/>
      <c r="AT12" s="22"/>
      <c r="AU12" s="22"/>
      <c r="AV12" s="22"/>
      <c r="AW12" s="22"/>
      <c r="AX12" s="22"/>
      <c r="AY12" s="22"/>
      <c r="AZ12" s="22"/>
      <c r="BA12" s="22"/>
      <c r="BB12" s="22"/>
      <c r="BC12" s="22"/>
      <c r="BD12" s="22"/>
      <c r="BE12" s="22"/>
      <c r="BF12" s="22"/>
      <c r="BG12" s="22"/>
      <c r="BH12" s="22"/>
      <c r="BI12" s="48"/>
      <c r="BJ12" s="22"/>
      <c r="BK12" s="22"/>
      <c r="BL12" s="22"/>
      <c r="BM12" s="22"/>
      <c r="BN12" s="72"/>
      <c r="BO12" s="22"/>
      <c r="BP12" s="22"/>
      <c r="BQ12" s="48"/>
      <c r="BR12" s="22"/>
      <c r="BS12" s="22"/>
      <c r="BT12" s="72"/>
      <c r="BU12" s="22"/>
      <c r="BV12" s="22"/>
      <c r="BW12" s="22"/>
      <c r="BX12" s="22"/>
      <c r="BY12" s="22"/>
      <c r="BZ12" s="22"/>
      <c r="CA12" s="22"/>
      <c r="CB12" s="22"/>
      <c r="CC12" s="22"/>
      <c r="CD12" s="22"/>
      <c r="CE12" s="22"/>
      <c r="CF12" s="22"/>
      <c r="CG12" s="22"/>
      <c r="CH12" s="22"/>
      <c r="CI12" s="22"/>
      <c r="CJ12" s="22"/>
      <c r="CK12" s="22"/>
      <c r="CL12" s="22"/>
      <c r="CM12" s="22"/>
      <c r="CN12" s="22"/>
      <c r="CO12" s="22"/>
      <c r="CP12" s="22"/>
      <c r="CQ12" s="22"/>
      <c r="CR12" s="22"/>
      <c r="CS12" s="22"/>
      <c r="CT12" s="22"/>
      <c r="CU12" s="22"/>
      <c r="CV12" s="22"/>
      <c r="CW12" s="22"/>
      <c r="CX12" s="22"/>
      <c r="CY12" s="22"/>
      <c r="CZ12" s="22"/>
      <c r="DA12" s="22"/>
      <c r="DB12" s="22"/>
      <c r="DC12" s="48"/>
      <c r="DD12" s="22"/>
      <c r="DE12" s="22"/>
      <c r="DF12" s="22"/>
      <c r="DG12" s="22"/>
      <c r="DH12" s="22"/>
      <c r="DI12" s="22"/>
      <c r="DJ12" s="22"/>
      <c r="DK12" s="22"/>
      <c r="DL12" s="22"/>
      <c r="DM12" s="22"/>
      <c r="DN12" s="22"/>
      <c r="DO12" s="22" t="s">
        <v>24</v>
      </c>
      <c r="DP12" s="22"/>
      <c r="DQ12" s="22"/>
      <c r="DR12" s="22"/>
      <c r="DS12" s="22"/>
      <c r="DT12" s="22"/>
      <c r="DU12" s="22"/>
      <c r="DV12" s="48"/>
      <c r="DW12" s="48"/>
      <c r="DX12" s="48"/>
      <c r="DY12" s="48"/>
      <c r="DZ12" s="48"/>
    </row>
    <row r="13" spans="1:130">
      <c r="A13" s="55" t="s">
        <v>309</v>
      </c>
      <c r="B13" s="57" t="s">
        <v>24</v>
      </c>
      <c r="C13" s="58" t="s">
        <v>24</v>
      </c>
      <c r="D13" s="56" t="s">
        <v>24</v>
      </c>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6"/>
      <c r="BM13" s="56"/>
      <c r="BN13" s="72"/>
      <c r="BO13" s="56"/>
      <c r="BP13" s="56"/>
      <c r="BQ13" s="56"/>
      <c r="BR13" s="56"/>
      <c r="BS13" s="56"/>
      <c r="BT13" s="72"/>
      <c r="BU13" s="56"/>
      <c r="BV13" s="56"/>
      <c r="BW13" s="56"/>
      <c r="BX13" s="56"/>
      <c r="BY13" s="56"/>
      <c r="BZ13" s="56"/>
      <c r="CA13" s="56"/>
      <c r="CB13" s="56"/>
      <c r="CC13" s="56"/>
      <c r="CD13" s="56"/>
      <c r="CE13" s="56"/>
      <c r="CF13" s="56"/>
      <c r="CG13" s="56"/>
      <c r="CH13" s="56"/>
      <c r="CI13" s="56"/>
      <c r="CJ13" s="56"/>
      <c r="CK13" s="56"/>
      <c r="CL13" s="56"/>
      <c r="CM13" s="56"/>
      <c r="CN13" s="56"/>
      <c r="CO13" s="56"/>
      <c r="CP13" s="56"/>
      <c r="CQ13" s="56" t="s">
        <v>24</v>
      </c>
      <c r="CR13" s="56" t="s">
        <v>24</v>
      </c>
      <c r="CS13" s="22"/>
      <c r="CT13" s="22"/>
      <c r="CU13" s="22"/>
      <c r="CV13" s="22"/>
      <c r="CW13" s="22"/>
      <c r="CX13" s="22"/>
      <c r="CY13" s="22"/>
      <c r="CZ13" s="22"/>
      <c r="DA13" s="22"/>
      <c r="DB13" s="22"/>
      <c r="DC13" s="48"/>
      <c r="DD13" s="22"/>
      <c r="DE13" s="22"/>
      <c r="DF13" s="22"/>
      <c r="DG13" s="22"/>
      <c r="DH13" s="22"/>
      <c r="DI13" s="22"/>
      <c r="DJ13" s="22"/>
      <c r="DK13" s="22"/>
      <c r="DL13" s="22"/>
      <c r="DM13" s="22"/>
      <c r="DN13" s="22"/>
      <c r="DO13" s="22"/>
      <c r="DP13" s="22"/>
      <c r="DQ13" s="22"/>
      <c r="DR13" s="22"/>
      <c r="DS13" s="22"/>
      <c r="DT13" s="22"/>
      <c r="DU13" s="22"/>
      <c r="DV13" s="48"/>
      <c r="DW13" s="48"/>
      <c r="DX13" s="48"/>
      <c r="DY13" s="48"/>
      <c r="DZ13" s="48"/>
    </row>
    <row r="14" spans="1:130">
      <c r="A14" s="62" t="s">
        <v>310</v>
      </c>
      <c r="B14" s="64" t="s">
        <v>24</v>
      </c>
      <c r="C14" s="63"/>
      <c r="D14" s="63"/>
      <c r="E14" s="63"/>
      <c r="F14" s="63"/>
      <c r="G14" s="63"/>
      <c r="H14" s="63"/>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t="s">
        <v>24</v>
      </c>
      <c r="AO14" s="63" t="s">
        <v>24</v>
      </c>
      <c r="AP14" s="63" t="s">
        <v>24</v>
      </c>
      <c r="AQ14" s="63"/>
      <c r="AR14" s="63"/>
      <c r="AS14" s="63" t="s">
        <v>24</v>
      </c>
      <c r="AT14" s="63" t="s">
        <v>24</v>
      </c>
      <c r="AU14" s="63" t="s">
        <v>24</v>
      </c>
      <c r="AV14" s="22"/>
      <c r="AW14" s="22"/>
      <c r="AX14" s="22"/>
      <c r="AY14" s="22"/>
      <c r="AZ14" s="22"/>
      <c r="BA14" s="22"/>
      <c r="BB14" s="22"/>
      <c r="BC14" s="22"/>
      <c r="BD14" s="22"/>
      <c r="BE14" s="22"/>
      <c r="BF14" s="22"/>
      <c r="BG14" s="22"/>
      <c r="BH14" s="22"/>
      <c r="BI14" s="48"/>
      <c r="BJ14" s="22"/>
      <c r="BK14" s="22"/>
      <c r="BL14" s="22"/>
      <c r="BM14" s="22"/>
      <c r="BN14" s="72"/>
      <c r="BO14" s="22"/>
      <c r="BP14" s="22"/>
      <c r="BQ14" s="48"/>
      <c r="BR14" s="22"/>
      <c r="BS14" s="22"/>
      <c r="BT14" s="72"/>
      <c r="BU14" s="22"/>
      <c r="BV14" s="22"/>
      <c r="BW14" s="22"/>
      <c r="BX14" s="22"/>
      <c r="BY14" s="22"/>
      <c r="BZ14" s="22"/>
      <c r="CA14" s="22"/>
      <c r="CB14" s="22"/>
      <c r="CC14" s="22"/>
      <c r="CD14" s="27"/>
      <c r="CE14" s="27"/>
      <c r="CF14" s="27"/>
      <c r="CG14" s="27"/>
      <c r="CH14" s="27"/>
      <c r="CI14" s="27"/>
      <c r="CJ14" s="27"/>
      <c r="CK14" s="27"/>
      <c r="CL14" s="27"/>
      <c r="CM14" s="27"/>
      <c r="CN14" s="27"/>
      <c r="CO14" s="22"/>
      <c r="CP14" s="22"/>
      <c r="CQ14" s="22"/>
      <c r="CR14" s="22"/>
      <c r="CS14" s="22"/>
      <c r="CT14" s="22"/>
      <c r="CU14" s="22"/>
      <c r="CV14" s="22"/>
      <c r="CW14" s="22"/>
      <c r="CX14" s="22"/>
      <c r="CY14" s="22"/>
      <c r="CZ14" s="22"/>
      <c r="DA14" s="22"/>
      <c r="DB14" s="22"/>
      <c r="DC14" s="48"/>
      <c r="DD14" s="22"/>
      <c r="DE14" s="22"/>
      <c r="DF14" s="22"/>
      <c r="DG14" s="22"/>
      <c r="DH14" s="22"/>
      <c r="DI14" s="22"/>
      <c r="DJ14" s="22"/>
      <c r="DK14" s="22"/>
      <c r="DL14" s="22"/>
      <c r="DM14" s="22"/>
      <c r="DN14" s="22"/>
      <c r="DO14" s="22"/>
      <c r="DP14" s="22"/>
      <c r="DQ14" s="22"/>
      <c r="DR14" s="22"/>
      <c r="DS14" s="22"/>
      <c r="DT14" s="22"/>
      <c r="DU14" s="22"/>
      <c r="DV14" s="48"/>
      <c r="DW14" s="48"/>
      <c r="DX14" s="48"/>
      <c r="DY14" s="48"/>
      <c r="DZ14" s="48"/>
    </row>
    <row r="15" spans="1:130" s="40" customFormat="1">
      <c r="A15" s="71" t="s">
        <v>318</v>
      </c>
      <c r="B15" s="73" t="s">
        <v>148</v>
      </c>
      <c r="C15" s="72" t="s">
        <v>24</v>
      </c>
      <c r="D15" s="72" t="s">
        <v>24</v>
      </c>
      <c r="E15" s="72" t="s">
        <v>24</v>
      </c>
      <c r="F15" s="72" t="s">
        <v>24</v>
      </c>
      <c r="G15" s="72" t="s">
        <v>24</v>
      </c>
      <c r="H15" s="72"/>
      <c r="I15" s="72"/>
      <c r="J15" s="72" t="s">
        <v>24</v>
      </c>
      <c r="K15" s="72" t="s">
        <v>24</v>
      </c>
      <c r="L15" s="72" t="s">
        <v>24</v>
      </c>
      <c r="M15" s="72" t="s">
        <v>24</v>
      </c>
      <c r="N15" s="72" t="s">
        <v>24</v>
      </c>
      <c r="O15" s="72"/>
      <c r="P15" s="72"/>
      <c r="Q15" s="72"/>
      <c r="R15" s="72"/>
      <c r="S15" s="72" t="s">
        <v>24</v>
      </c>
      <c r="T15" s="72"/>
      <c r="U15" s="72"/>
      <c r="V15" s="72"/>
      <c r="W15" s="72"/>
      <c r="X15" s="72"/>
      <c r="Y15" s="72"/>
      <c r="Z15" s="72"/>
      <c r="AA15" s="72"/>
      <c r="AB15" s="72"/>
      <c r="AC15" s="72"/>
      <c r="AD15" s="72"/>
      <c r="AE15" s="72"/>
      <c r="AF15" s="72"/>
      <c r="AG15" s="72"/>
      <c r="AH15" s="72"/>
      <c r="AI15" s="72"/>
      <c r="AJ15" s="72"/>
      <c r="AK15" s="72"/>
      <c r="AL15" s="72"/>
      <c r="AM15" s="72"/>
      <c r="AN15" s="72" t="s">
        <v>24</v>
      </c>
      <c r="AO15" s="72"/>
      <c r="AP15" s="72"/>
      <c r="AQ15" s="72"/>
      <c r="AR15" s="72"/>
      <c r="AS15" s="72"/>
      <c r="AT15" s="72"/>
      <c r="AU15" s="72"/>
      <c r="AV15" s="72"/>
      <c r="AW15" s="72"/>
      <c r="AX15" s="72"/>
      <c r="AY15" s="72"/>
      <c r="AZ15" s="72"/>
      <c r="BA15" s="72"/>
      <c r="BB15" s="72"/>
      <c r="BC15" s="72"/>
      <c r="BD15" s="72"/>
      <c r="BE15" s="72"/>
      <c r="BF15" s="72"/>
      <c r="BG15" s="72"/>
      <c r="BH15" s="72"/>
      <c r="BI15" s="72"/>
      <c r="BJ15" s="72"/>
      <c r="BK15" s="72"/>
      <c r="BL15" s="72"/>
      <c r="BM15" s="72"/>
      <c r="BN15" s="72"/>
      <c r="BO15" s="72" t="s">
        <v>24</v>
      </c>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t="s">
        <v>148</v>
      </c>
      <c r="CT15" s="72"/>
      <c r="CU15" s="72"/>
      <c r="CV15" s="72"/>
      <c r="CW15" s="72"/>
      <c r="CX15" s="72"/>
      <c r="CY15" s="72"/>
      <c r="CZ15" s="72"/>
      <c r="DA15" s="72"/>
      <c r="DB15" s="72"/>
      <c r="DC15" s="72"/>
      <c r="DD15" s="72"/>
      <c r="DE15" s="72"/>
      <c r="DF15" s="72"/>
      <c r="DG15" s="72"/>
      <c r="DH15" s="72"/>
      <c r="DI15" s="72"/>
      <c r="DJ15" s="72"/>
      <c r="DK15" s="72"/>
      <c r="DL15" s="72"/>
      <c r="DM15" s="72"/>
      <c r="DN15" s="72"/>
      <c r="DO15" s="72"/>
      <c r="DP15" s="72" t="s">
        <v>24</v>
      </c>
      <c r="DQ15" s="72"/>
      <c r="DR15" s="72"/>
      <c r="DS15" s="72"/>
      <c r="DT15" s="72"/>
      <c r="DU15" s="72"/>
      <c r="DV15" s="72"/>
      <c r="DW15" s="72"/>
      <c r="DX15" s="72"/>
      <c r="DY15" s="72"/>
      <c r="DZ15" s="72"/>
    </row>
    <row r="16" spans="1:130">
      <c r="A16" s="21" t="s">
        <v>188</v>
      </c>
      <c r="B16" s="23" t="s">
        <v>24</v>
      </c>
      <c r="C16" s="22" t="s">
        <v>24</v>
      </c>
      <c r="D16" s="22" t="s">
        <v>24</v>
      </c>
      <c r="E16" s="22" t="s">
        <v>24</v>
      </c>
      <c r="F16" s="22"/>
      <c r="G16" s="22"/>
      <c r="H16" s="22"/>
      <c r="I16" s="22"/>
      <c r="J16" s="22"/>
      <c r="K16" s="22"/>
      <c r="L16" s="22"/>
      <c r="M16" s="22"/>
      <c r="N16" s="22"/>
      <c r="O16" s="22"/>
      <c r="P16" s="27"/>
      <c r="Q16" s="48"/>
      <c r="R16" s="48"/>
      <c r="S16" s="22"/>
      <c r="T16" s="22"/>
      <c r="U16" s="22"/>
      <c r="V16" s="22"/>
      <c r="W16" s="22"/>
      <c r="X16" s="22"/>
      <c r="Y16" s="22"/>
      <c r="Z16" s="27"/>
      <c r="AA16" s="27"/>
      <c r="AB16" s="27"/>
      <c r="AC16" s="27"/>
      <c r="AD16" s="22"/>
      <c r="AE16" s="22"/>
      <c r="AF16" s="22"/>
      <c r="AG16" s="22"/>
      <c r="AH16" s="22"/>
      <c r="AI16" s="22"/>
      <c r="AJ16" s="27"/>
      <c r="AK16" s="27"/>
      <c r="AL16" s="27"/>
      <c r="AM16" s="27"/>
      <c r="AN16" s="22"/>
      <c r="AO16" s="22"/>
      <c r="AP16" s="22"/>
      <c r="AQ16" s="22"/>
      <c r="AR16" s="22"/>
      <c r="AS16" s="22"/>
      <c r="AT16" s="22"/>
      <c r="AU16" s="22"/>
      <c r="AV16" s="22"/>
      <c r="AW16" s="22"/>
      <c r="AX16" s="22"/>
      <c r="AY16" s="22"/>
      <c r="AZ16" s="22"/>
      <c r="BA16" s="22"/>
      <c r="BB16" s="22"/>
      <c r="BC16" s="22"/>
      <c r="BD16" s="22"/>
      <c r="BE16" s="22"/>
      <c r="BF16" s="22"/>
      <c r="BG16" s="22"/>
      <c r="BH16" s="22"/>
      <c r="BI16" s="48"/>
      <c r="BJ16" s="22"/>
      <c r="BK16" s="22"/>
      <c r="BL16" s="22"/>
      <c r="BM16" s="22"/>
      <c r="BN16" s="72"/>
      <c r="BO16" s="22"/>
      <c r="BP16" s="22"/>
      <c r="BQ16" s="48"/>
      <c r="BR16" s="22"/>
      <c r="BS16" s="22"/>
      <c r="BT16" s="72"/>
      <c r="BU16" s="22"/>
      <c r="BV16" s="22"/>
      <c r="BW16" s="22"/>
      <c r="BX16" s="22"/>
      <c r="BY16" s="22"/>
      <c r="BZ16" s="22"/>
      <c r="CA16" s="22"/>
      <c r="CB16" s="22"/>
      <c r="CC16" s="22"/>
      <c r="CD16" s="27"/>
      <c r="CE16" s="27"/>
      <c r="CF16" s="27"/>
      <c r="CG16" s="27"/>
      <c r="CH16" s="27"/>
      <c r="CI16" s="27"/>
      <c r="CJ16" s="27"/>
      <c r="CK16" s="27"/>
      <c r="CL16" s="27"/>
      <c r="CM16" s="27"/>
      <c r="CN16" s="27"/>
      <c r="CO16" s="22" t="s">
        <v>148</v>
      </c>
      <c r="CP16" s="22" t="s">
        <v>148</v>
      </c>
      <c r="CQ16" s="22" t="s">
        <v>148</v>
      </c>
      <c r="CR16" s="22" t="s">
        <v>148</v>
      </c>
      <c r="CS16" s="22"/>
      <c r="CT16" s="22" t="s">
        <v>148</v>
      </c>
      <c r="CU16" s="22" t="s">
        <v>148</v>
      </c>
      <c r="CV16" s="22" t="s">
        <v>148</v>
      </c>
      <c r="CW16" s="22"/>
      <c r="CX16" s="22" t="s">
        <v>148</v>
      </c>
      <c r="CY16" s="22"/>
      <c r="CZ16" s="22" t="s">
        <v>148</v>
      </c>
      <c r="DA16" s="22" t="s">
        <v>148</v>
      </c>
      <c r="DB16" s="22" t="s">
        <v>148</v>
      </c>
      <c r="DC16" s="48"/>
      <c r="DD16" s="22"/>
      <c r="DE16" s="22"/>
      <c r="DF16" s="22"/>
      <c r="DG16" s="22" t="s">
        <v>148</v>
      </c>
      <c r="DH16" s="22"/>
      <c r="DI16" s="22"/>
      <c r="DJ16" s="22"/>
      <c r="DK16" s="22"/>
      <c r="DL16" s="22"/>
      <c r="DM16" s="22"/>
      <c r="DN16" s="22"/>
      <c r="DO16" s="22"/>
      <c r="DP16" s="22"/>
      <c r="DQ16" s="22"/>
      <c r="DR16" s="22"/>
      <c r="DS16" s="22"/>
      <c r="DT16" s="22"/>
      <c r="DU16" s="22"/>
      <c r="DV16" s="48"/>
      <c r="DW16" s="48"/>
      <c r="DX16" s="48"/>
      <c r="DY16" s="48"/>
      <c r="DZ16" s="48"/>
    </row>
    <row r="17" spans="1:130">
      <c r="A17" s="46" t="s">
        <v>263</v>
      </c>
      <c r="B17" s="49"/>
      <c r="C17" s="48"/>
      <c r="D17" s="48" t="s">
        <v>24</v>
      </c>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48"/>
      <c r="BA17" s="48"/>
      <c r="BB17" s="48"/>
      <c r="BC17" s="48"/>
      <c r="BO17" s="48" t="s">
        <v>24</v>
      </c>
      <c r="BP17" s="48"/>
      <c r="BQ17" s="48"/>
      <c r="BR17" s="48"/>
      <c r="BS17" s="48"/>
      <c r="BT17" s="72"/>
      <c r="BU17" s="48"/>
      <c r="BV17" s="48"/>
      <c r="BW17" s="48"/>
      <c r="BX17" s="48"/>
      <c r="BY17" s="48"/>
      <c r="BZ17" s="48"/>
      <c r="CA17" s="48"/>
      <c r="CB17" s="48"/>
      <c r="CC17" s="48"/>
      <c r="CD17" s="48"/>
      <c r="CE17" s="48"/>
      <c r="CF17" s="48"/>
      <c r="CG17" s="48"/>
      <c r="CH17" s="48"/>
      <c r="CI17" s="48"/>
      <c r="CJ17" s="48"/>
      <c r="CK17" s="48"/>
      <c r="CL17" s="48"/>
      <c r="CM17" s="48"/>
      <c r="CN17" s="48"/>
      <c r="CO17" s="48" t="s">
        <v>24</v>
      </c>
      <c r="CP17" s="48" t="s">
        <v>24</v>
      </c>
      <c r="CQ17" s="48" t="s">
        <v>24</v>
      </c>
      <c r="CR17" s="48" t="s">
        <v>24</v>
      </c>
      <c r="CS17" s="48" t="s">
        <v>24</v>
      </c>
      <c r="CT17" s="48" t="s">
        <v>24</v>
      </c>
      <c r="CU17" s="48" t="s">
        <v>24</v>
      </c>
      <c r="CV17" s="48" t="s">
        <v>24</v>
      </c>
      <c r="CW17" s="48"/>
      <c r="CX17" s="48"/>
      <c r="CY17" s="48"/>
      <c r="CZ17" s="48"/>
      <c r="DA17" s="48"/>
      <c r="DB17" s="48"/>
      <c r="DC17" s="48"/>
      <c r="DD17" s="48"/>
      <c r="DE17" s="48"/>
      <c r="DF17" s="48"/>
      <c r="DG17" s="48"/>
      <c r="DH17" s="48"/>
      <c r="DI17" s="48"/>
      <c r="DJ17" s="48"/>
      <c r="DK17" s="48"/>
      <c r="DL17" s="48"/>
      <c r="DM17" s="48"/>
      <c r="DN17" s="48" t="s">
        <v>24</v>
      </c>
      <c r="DO17" s="48"/>
      <c r="DP17" s="48" t="s">
        <v>24</v>
      </c>
      <c r="DQ17" s="48" t="s">
        <v>24</v>
      </c>
      <c r="DR17" s="22"/>
      <c r="DS17" s="22"/>
      <c r="DT17" s="22"/>
      <c r="DU17" s="22"/>
      <c r="DV17" s="48"/>
      <c r="DW17" s="48"/>
      <c r="DX17" s="48"/>
      <c r="DY17" s="48"/>
      <c r="DZ17" s="48"/>
    </row>
    <row r="18" spans="1:130" s="40" customFormat="1">
      <c r="A18" s="59" t="s">
        <v>311</v>
      </c>
      <c r="B18" s="61" t="s">
        <v>24</v>
      </c>
      <c r="C18" s="60"/>
      <c r="D18" s="60"/>
      <c r="E18" s="60"/>
      <c r="F18" s="60"/>
      <c r="G18" s="60"/>
      <c r="H18" s="60"/>
      <c r="I18" s="60"/>
      <c r="J18" s="60"/>
      <c r="K18" s="60"/>
      <c r="L18" s="60"/>
      <c r="M18" s="60"/>
      <c r="N18" s="60"/>
      <c r="O18" s="60"/>
      <c r="P18" s="60"/>
      <c r="Q18" s="60"/>
      <c r="R18" s="60"/>
      <c r="S18" s="60"/>
      <c r="T18" s="60"/>
      <c r="U18" s="60"/>
      <c r="V18" s="60"/>
      <c r="W18" s="60"/>
      <c r="X18" s="60"/>
      <c r="Y18" s="60"/>
      <c r="Z18" s="60"/>
      <c r="AA18" s="60"/>
      <c r="AB18" s="60"/>
      <c r="AC18" s="60"/>
      <c r="AD18" s="60" t="s">
        <v>24</v>
      </c>
      <c r="AE18" s="60" t="s">
        <v>24</v>
      </c>
      <c r="AF18" s="60" t="s">
        <v>24</v>
      </c>
      <c r="AG18" s="60" t="s">
        <v>24</v>
      </c>
      <c r="AH18" s="60" t="s">
        <v>24</v>
      </c>
      <c r="AI18" s="60" t="s">
        <v>24</v>
      </c>
      <c r="AJ18" s="60"/>
      <c r="AK18" s="60"/>
      <c r="AL18" s="60"/>
      <c r="AM18" s="60"/>
      <c r="AN18" s="60" t="s">
        <v>24</v>
      </c>
      <c r="AO18" s="60" t="s">
        <v>24</v>
      </c>
      <c r="AP18" s="60" t="s">
        <v>24</v>
      </c>
      <c r="AQ18" s="48"/>
      <c r="AR18" s="48"/>
      <c r="AS18" s="48"/>
      <c r="AT18" s="48"/>
      <c r="AU18" s="48"/>
      <c r="AV18" s="48"/>
      <c r="AW18" s="48"/>
      <c r="AX18" s="48"/>
      <c r="AY18" s="48"/>
      <c r="AZ18" s="48"/>
      <c r="BA18" s="48"/>
      <c r="BB18" s="48"/>
      <c r="BC18" s="48"/>
      <c r="BD18" s="48"/>
      <c r="BE18" s="48"/>
      <c r="BF18" s="48"/>
      <c r="BG18" s="48"/>
      <c r="BH18" s="48"/>
      <c r="BI18" s="48"/>
      <c r="BJ18" s="48"/>
      <c r="BK18" s="48"/>
      <c r="BL18" s="48"/>
      <c r="BM18" s="48"/>
      <c r="BN18" s="72"/>
      <c r="BO18" s="48"/>
      <c r="BP18" s="48"/>
      <c r="BQ18" s="48"/>
      <c r="BR18" s="48"/>
      <c r="BS18" s="48"/>
      <c r="BT18" s="72"/>
      <c r="BU18" s="4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c r="DQ18" s="48"/>
      <c r="DR18" s="48"/>
      <c r="DS18" s="48"/>
      <c r="DT18" s="48"/>
      <c r="DU18" s="48"/>
      <c r="DV18" s="48"/>
      <c r="DW18" s="48"/>
      <c r="DX18" s="48"/>
      <c r="DY18" s="48"/>
      <c r="DZ18" s="48"/>
    </row>
    <row r="19" spans="1:130">
      <c r="A19" s="68" t="s">
        <v>315</v>
      </c>
      <c r="B19" s="70" t="s">
        <v>24</v>
      </c>
      <c r="C19" s="69" t="s">
        <v>24</v>
      </c>
      <c r="D19" s="69" t="s">
        <v>24</v>
      </c>
      <c r="E19" s="69" t="s">
        <v>24</v>
      </c>
      <c r="F19" s="69" t="s">
        <v>24</v>
      </c>
      <c r="G19" s="69" t="s">
        <v>24</v>
      </c>
      <c r="H19" s="69"/>
      <c r="I19" s="69"/>
      <c r="J19" s="69"/>
      <c r="K19" s="69"/>
      <c r="L19" s="69"/>
      <c r="M19" s="69"/>
      <c r="N19" s="69"/>
      <c r="O19" s="69"/>
      <c r="P19" s="69"/>
      <c r="Q19" s="69"/>
      <c r="R19" s="69"/>
      <c r="S19" s="69"/>
      <c r="T19" s="69"/>
      <c r="U19" s="69"/>
      <c r="V19" s="69" t="s">
        <v>24</v>
      </c>
      <c r="W19" s="22"/>
      <c r="X19" s="22"/>
      <c r="Y19" s="22"/>
      <c r="Z19" s="27"/>
      <c r="AA19" s="27"/>
      <c r="AB19" s="27"/>
      <c r="AC19" s="27"/>
      <c r="AD19" s="47"/>
      <c r="AE19" s="47"/>
      <c r="AF19" s="47"/>
      <c r="AG19" s="47"/>
      <c r="AH19" s="47"/>
      <c r="AI19" s="47"/>
      <c r="AJ19" s="27"/>
      <c r="AK19" s="27"/>
      <c r="AL19" s="27"/>
      <c r="AM19" s="27"/>
      <c r="AN19" s="47"/>
      <c r="AO19" s="47"/>
      <c r="AP19" s="47"/>
      <c r="AQ19" s="47"/>
      <c r="AR19" s="47"/>
      <c r="AS19" s="47"/>
      <c r="AT19" s="47"/>
      <c r="AU19" s="22"/>
      <c r="AV19" s="22"/>
      <c r="AW19" s="22"/>
      <c r="AX19" s="22"/>
      <c r="AY19" s="22"/>
      <c r="AZ19" s="22"/>
      <c r="BA19" s="22"/>
      <c r="BB19" s="22"/>
      <c r="BC19" s="22"/>
      <c r="BD19" s="40"/>
      <c r="BE19" s="40"/>
      <c r="BF19" s="40"/>
      <c r="BG19" s="40" t="s">
        <v>24</v>
      </c>
      <c r="BH19" s="40"/>
      <c r="BJ19" s="40"/>
      <c r="BK19" s="40"/>
      <c r="BL19" s="40"/>
      <c r="BM19" s="40"/>
      <c r="BO19" s="22"/>
      <c r="BP19" s="22"/>
      <c r="BQ19" s="48"/>
      <c r="BR19" s="22"/>
      <c r="BS19" s="22"/>
      <c r="BT19" s="7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48"/>
      <c r="DD19" s="22"/>
      <c r="DE19" s="22"/>
      <c r="DF19" s="22"/>
      <c r="DG19" s="22"/>
      <c r="DH19" s="22"/>
      <c r="DI19" s="22"/>
      <c r="DJ19" s="22"/>
      <c r="DK19" s="22"/>
      <c r="DL19" s="22"/>
      <c r="DM19" s="22"/>
      <c r="DN19" s="22"/>
      <c r="DO19" s="22"/>
      <c r="DP19" s="22"/>
      <c r="DQ19" s="22"/>
      <c r="DR19" s="22"/>
      <c r="DS19" s="22"/>
      <c r="DT19" s="22"/>
      <c r="DU19" s="21"/>
      <c r="DV19" s="48"/>
      <c r="DW19" s="48"/>
      <c r="DX19" s="48"/>
      <c r="DY19" s="48"/>
      <c r="DZ19" s="48"/>
    </row>
    <row r="20" spans="1:130">
      <c r="A20" s="33" t="s">
        <v>264</v>
      </c>
      <c r="B20" s="43" t="s">
        <v>24</v>
      </c>
      <c r="C20" s="45"/>
      <c r="D20" s="45"/>
      <c r="E20" s="45" t="s">
        <v>148</v>
      </c>
      <c r="F20" s="45" t="s">
        <v>148</v>
      </c>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4"/>
      <c r="AY20" s="44"/>
      <c r="AZ20" s="44"/>
      <c r="BA20" s="44"/>
      <c r="BB20" s="44"/>
      <c r="BC20" s="44"/>
      <c r="BD20" s="45"/>
      <c r="BE20" s="45"/>
      <c r="BF20" s="45"/>
      <c r="BG20" s="45"/>
      <c r="BH20" s="45"/>
      <c r="BI20" s="45"/>
      <c r="BJ20" s="45"/>
      <c r="BK20" s="45"/>
      <c r="BL20" s="45"/>
      <c r="BM20" s="45"/>
      <c r="BN20" s="58"/>
      <c r="BO20" s="45" t="s">
        <v>24</v>
      </c>
      <c r="BP20" s="45" t="s">
        <v>24</v>
      </c>
      <c r="BQ20" s="45"/>
      <c r="BR20" s="45" t="s">
        <v>24</v>
      </c>
      <c r="BS20" s="45"/>
      <c r="BT20" s="58"/>
      <c r="BU20" s="45" t="s">
        <v>24</v>
      </c>
      <c r="BV20" s="45"/>
      <c r="BW20" s="45"/>
      <c r="BX20" s="45" t="s">
        <v>24</v>
      </c>
      <c r="BY20" s="45"/>
      <c r="BZ20" s="45"/>
      <c r="CA20" s="45"/>
      <c r="CB20" s="45"/>
      <c r="CC20" s="45"/>
      <c r="CD20" s="45"/>
      <c r="CE20" s="45"/>
      <c r="CF20" s="48"/>
      <c r="CG20" s="48"/>
      <c r="CH20" s="48"/>
      <c r="CI20" s="48"/>
      <c r="CJ20" s="22"/>
      <c r="CK20" s="22"/>
      <c r="CL20" s="22"/>
      <c r="CM20" s="22"/>
      <c r="CN20" s="22"/>
      <c r="CO20" s="45" t="s">
        <v>148</v>
      </c>
      <c r="CP20" s="45" t="s">
        <v>148</v>
      </c>
      <c r="CQ20" s="45" t="s">
        <v>148</v>
      </c>
      <c r="CR20" s="45" t="s">
        <v>148</v>
      </c>
      <c r="CS20" s="22"/>
      <c r="CT20" s="22"/>
      <c r="CU20" s="22"/>
      <c r="CV20" s="22"/>
      <c r="CW20" s="22"/>
      <c r="CX20" s="22"/>
      <c r="CY20" s="22"/>
      <c r="CZ20" s="22"/>
      <c r="DA20" s="22"/>
      <c r="DB20" s="22"/>
      <c r="DC20" s="48"/>
      <c r="DD20" s="22" t="s">
        <v>24</v>
      </c>
      <c r="DE20" s="22"/>
      <c r="DF20" s="22"/>
      <c r="DG20" s="22"/>
      <c r="DH20" s="22"/>
      <c r="DI20" s="22"/>
      <c r="DJ20" s="22"/>
      <c r="DK20" s="22"/>
      <c r="DL20" s="22"/>
      <c r="DM20" s="22"/>
      <c r="DN20" s="22" t="s">
        <v>24</v>
      </c>
      <c r="DO20" s="22"/>
      <c r="DP20" s="22"/>
      <c r="DQ20" s="22"/>
      <c r="DR20" s="22"/>
      <c r="DS20" s="22"/>
      <c r="DT20" s="22"/>
      <c r="DU20" s="21"/>
      <c r="DV20" s="48"/>
      <c r="DW20" s="48"/>
      <c r="DX20" s="48"/>
      <c r="DY20" s="48"/>
      <c r="DZ20" s="48"/>
    </row>
    <row r="21" spans="1:130" s="40" customFormat="1">
      <c r="A21" s="53" t="s">
        <v>312</v>
      </c>
      <c r="B21" s="54" t="s">
        <v>148</v>
      </c>
      <c r="C21" s="52" t="s">
        <v>148</v>
      </c>
      <c r="D21" s="52" t="s">
        <v>148</v>
      </c>
      <c r="E21" s="52" t="s">
        <v>148</v>
      </c>
      <c r="F21" s="52" t="s">
        <v>148</v>
      </c>
      <c r="G21" s="52" t="s">
        <v>148</v>
      </c>
      <c r="H21" s="52"/>
      <c r="I21" s="52"/>
      <c r="J21" s="52" t="s">
        <v>148</v>
      </c>
      <c r="K21" s="52" t="s">
        <v>148</v>
      </c>
      <c r="L21" s="52"/>
      <c r="M21" s="52" t="s">
        <v>148</v>
      </c>
      <c r="N21" s="52"/>
      <c r="O21" s="52"/>
      <c r="P21" s="52"/>
      <c r="Q21" s="52"/>
      <c r="R21" s="52"/>
      <c r="S21" s="52"/>
      <c r="T21" s="52"/>
      <c r="U21" s="52"/>
      <c r="V21" s="52"/>
      <c r="W21" s="52" t="s">
        <v>148</v>
      </c>
      <c r="X21" s="52" t="s">
        <v>148</v>
      </c>
      <c r="Y21" s="52"/>
      <c r="Z21" s="52"/>
      <c r="AA21" s="52"/>
      <c r="AB21" s="52"/>
      <c r="AC21" s="52"/>
      <c r="AD21" s="52" t="s">
        <v>148</v>
      </c>
      <c r="AE21" s="52" t="s">
        <v>148</v>
      </c>
      <c r="AF21" s="52" t="s">
        <v>148</v>
      </c>
      <c r="AG21" s="45"/>
      <c r="AH21" s="45"/>
      <c r="AI21" s="45"/>
      <c r="AJ21" s="45"/>
      <c r="AK21" s="45"/>
      <c r="AL21" s="45"/>
      <c r="AM21" s="45"/>
      <c r="AN21" s="45"/>
      <c r="AO21" s="45"/>
      <c r="AP21" s="45"/>
      <c r="AQ21" s="45"/>
      <c r="AR21" s="45"/>
      <c r="AS21" s="45"/>
      <c r="AT21" s="45"/>
      <c r="AU21" s="45"/>
      <c r="AV21" s="45"/>
      <c r="AW21" s="45"/>
      <c r="AX21" s="44"/>
      <c r="AY21" s="44"/>
      <c r="AZ21" s="44"/>
      <c r="BA21" s="44"/>
      <c r="BB21" s="44"/>
      <c r="BC21" s="44"/>
      <c r="BD21" s="45"/>
      <c r="BE21" s="45"/>
      <c r="BF21" s="45"/>
      <c r="BG21" s="45"/>
      <c r="BH21" s="45"/>
      <c r="BI21" s="45"/>
      <c r="BJ21" s="45"/>
      <c r="BK21" s="45"/>
      <c r="BL21" s="45"/>
      <c r="BM21" s="45"/>
      <c r="BN21" s="58"/>
      <c r="BO21" s="45"/>
      <c r="BP21" s="45"/>
      <c r="BQ21" s="45"/>
      <c r="BR21" s="45"/>
      <c r="BS21" s="45"/>
      <c r="BT21" s="58"/>
      <c r="BU21" s="45"/>
      <c r="BV21" s="45"/>
      <c r="BW21" s="45"/>
      <c r="BX21" s="45"/>
      <c r="BY21" s="45"/>
      <c r="BZ21" s="45"/>
      <c r="CA21" s="45"/>
      <c r="CB21" s="45"/>
      <c r="CC21" s="45"/>
      <c r="CD21" s="45"/>
      <c r="CE21" s="45"/>
      <c r="CF21" s="48"/>
      <c r="CG21" s="48"/>
      <c r="CH21" s="48"/>
      <c r="CI21" s="48"/>
      <c r="CJ21" s="48"/>
      <c r="CK21" s="48"/>
      <c r="CL21" s="48"/>
      <c r="CM21" s="48"/>
      <c r="CN21" s="48"/>
      <c r="CO21" s="45"/>
      <c r="CP21" s="45"/>
      <c r="CQ21" s="45"/>
      <c r="CR21" s="45"/>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c r="DQ21" s="48"/>
      <c r="DR21" s="48"/>
      <c r="DS21" s="48"/>
      <c r="DT21" s="48"/>
      <c r="DU21" s="46"/>
      <c r="DV21" s="48"/>
      <c r="DW21" s="48"/>
      <c r="DX21" s="48"/>
      <c r="DY21" s="48"/>
      <c r="DZ21" s="48"/>
    </row>
    <row r="22" spans="1:130">
      <c r="A22" s="21" t="s">
        <v>65</v>
      </c>
      <c r="B22" s="23"/>
      <c r="C22" s="22" t="s">
        <v>148</v>
      </c>
      <c r="D22" s="22" t="s">
        <v>148</v>
      </c>
      <c r="E22" s="22"/>
      <c r="F22" s="22"/>
      <c r="G22" s="22"/>
      <c r="H22" s="22"/>
      <c r="I22" s="22"/>
      <c r="J22" s="22"/>
      <c r="K22" s="22"/>
      <c r="L22" s="22"/>
      <c r="M22" s="22"/>
      <c r="N22" s="22"/>
      <c r="O22" s="22"/>
      <c r="P22" s="27"/>
      <c r="Q22" s="48"/>
      <c r="R22" s="48"/>
      <c r="S22" s="22"/>
      <c r="T22" s="22"/>
      <c r="U22" s="22"/>
      <c r="V22" s="22"/>
      <c r="W22" s="22"/>
      <c r="X22" s="22"/>
      <c r="Y22" s="22"/>
      <c r="Z22" s="27"/>
      <c r="AA22" s="27"/>
      <c r="AB22" s="27"/>
      <c r="AC22" s="27"/>
      <c r="AD22" s="22"/>
      <c r="AE22" s="22"/>
      <c r="AF22" s="22"/>
      <c r="AG22" s="22"/>
      <c r="AH22" s="22"/>
      <c r="AI22" s="22"/>
      <c r="AJ22" s="27"/>
      <c r="AK22" s="27"/>
      <c r="AL22" s="27"/>
      <c r="AM22" s="27"/>
      <c r="AN22" s="22" t="s">
        <v>148</v>
      </c>
      <c r="AO22" s="22" t="s">
        <v>148</v>
      </c>
      <c r="AP22" s="22" t="s">
        <v>148</v>
      </c>
      <c r="AQ22" s="22" t="s">
        <v>148</v>
      </c>
      <c r="AR22" s="22"/>
      <c r="AS22" s="22"/>
      <c r="AT22" s="22"/>
      <c r="AU22" s="22"/>
      <c r="AV22" s="22"/>
      <c r="AW22" s="22"/>
      <c r="AX22" s="22"/>
      <c r="AY22" s="22"/>
      <c r="AZ22" s="22"/>
      <c r="BA22" s="22"/>
      <c r="BB22" s="22"/>
      <c r="BC22" s="22"/>
      <c r="BD22" s="22"/>
      <c r="BE22" s="22"/>
      <c r="BF22" s="22"/>
      <c r="BG22" s="22"/>
      <c r="BH22" s="22"/>
      <c r="BI22" s="48"/>
      <c r="BJ22" s="22"/>
      <c r="BK22" s="22"/>
      <c r="BL22" s="22"/>
      <c r="BM22" s="22"/>
      <c r="BN22" s="72"/>
      <c r="BO22" s="22"/>
      <c r="BP22" s="22"/>
      <c r="BQ22" s="48"/>
      <c r="BR22" s="22"/>
      <c r="BS22" s="22"/>
      <c r="BT22" s="7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48"/>
      <c r="DD22" s="22"/>
      <c r="DE22" s="22"/>
      <c r="DF22" s="22"/>
      <c r="DG22" s="22"/>
      <c r="DH22" s="22"/>
      <c r="DI22" s="22"/>
      <c r="DJ22" s="22"/>
      <c r="DK22" s="22"/>
      <c r="DL22" s="22"/>
      <c r="DM22" s="22"/>
      <c r="DN22" s="22"/>
      <c r="DO22" s="22"/>
      <c r="DP22" s="22"/>
      <c r="DQ22" s="22"/>
      <c r="DR22" s="22"/>
      <c r="DS22" s="22"/>
      <c r="DT22" s="22" t="s">
        <v>148</v>
      </c>
      <c r="DU22" s="22" t="s">
        <v>148</v>
      </c>
      <c r="DV22" s="48" t="s">
        <v>148</v>
      </c>
      <c r="DW22" s="48" t="s">
        <v>148</v>
      </c>
      <c r="DX22" s="48" t="s">
        <v>148</v>
      </c>
      <c r="DY22" s="48" t="s">
        <v>148</v>
      </c>
      <c r="DZ22" s="48" t="s">
        <v>148</v>
      </c>
    </row>
    <row r="23" spans="1:130" s="25" customFormat="1">
      <c r="A23" s="34" t="s">
        <v>270</v>
      </c>
      <c r="B23" s="37" t="s">
        <v>24</v>
      </c>
      <c r="C23" s="36" t="s">
        <v>148</v>
      </c>
      <c r="D23" s="36" t="s">
        <v>24</v>
      </c>
      <c r="E23" s="36" t="s">
        <v>148</v>
      </c>
      <c r="F23" s="36" t="s">
        <v>148</v>
      </c>
      <c r="G23" s="36"/>
      <c r="H23" s="36"/>
      <c r="I23" s="36"/>
      <c r="J23" s="36"/>
      <c r="K23" s="36"/>
      <c r="L23" s="36"/>
      <c r="M23" s="36"/>
      <c r="N23" s="36"/>
      <c r="O23" s="36"/>
      <c r="P23" s="36"/>
      <c r="Q23" s="48"/>
      <c r="R23" s="48"/>
      <c r="S23" s="36"/>
      <c r="T23" s="36"/>
      <c r="U23" s="36"/>
      <c r="V23" s="36"/>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48"/>
      <c r="BJ23" s="36"/>
      <c r="BK23" s="36"/>
      <c r="BL23" s="36"/>
      <c r="BM23" s="36"/>
      <c r="BN23" s="72"/>
      <c r="BO23" s="36" t="s">
        <v>148</v>
      </c>
      <c r="BP23" s="36" t="s">
        <v>148</v>
      </c>
      <c r="BQ23" s="48"/>
      <c r="BR23" s="27"/>
      <c r="BS23" s="27"/>
      <c r="BT23" s="72"/>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48"/>
      <c r="DD23" s="27"/>
      <c r="DE23" s="27"/>
      <c r="DF23" s="27"/>
      <c r="DG23" s="27"/>
      <c r="DH23" s="27"/>
      <c r="DI23" s="27"/>
      <c r="DJ23" s="27"/>
      <c r="DK23" s="27"/>
      <c r="DL23" s="27"/>
      <c r="DM23" s="27"/>
      <c r="DN23" s="27"/>
      <c r="DO23" s="27"/>
      <c r="DP23" s="27"/>
      <c r="DQ23" s="27"/>
      <c r="DR23" s="27"/>
      <c r="DS23" s="27"/>
      <c r="DT23" s="27"/>
      <c r="DU23" s="27"/>
      <c r="DV23" s="48"/>
      <c r="DW23" s="48"/>
      <c r="DX23" s="48"/>
      <c r="DY23" s="48"/>
      <c r="DZ23" s="48"/>
    </row>
    <row r="24" spans="1:130" s="40" customFormat="1">
      <c r="A24" s="65" t="s">
        <v>314</v>
      </c>
      <c r="B24" s="67" t="s">
        <v>24</v>
      </c>
      <c r="C24" s="66"/>
      <c r="D24" s="66" t="s">
        <v>24</v>
      </c>
      <c r="E24" s="66"/>
      <c r="F24" s="66"/>
      <c r="G24" s="66"/>
      <c r="H24" s="66"/>
      <c r="I24" s="66"/>
      <c r="J24" s="66"/>
      <c r="K24" s="66"/>
      <c r="L24" s="66"/>
      <c r="M24" s="66"/>
      <c r="N24" s="66"/>
      <c r="O24" s="66" t="s">
        <v>24</v>
      </c>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72"/>
      <c r="BO24" s="66" t="s">
        <v>24</v>
      </c>
      <c r="BP24" s="66"/>
      <c r="BQ24" s="66"/>
      <c r="BR24" s="66" t="s">
        <v>24</v>
      </c>
      <c r="BS24" s="66"/>
      <c r="BT24" s="72"/>
      <c r="BU24" s="66" t="s">
        <v>24</v>
      </c>
      <c r="BV24" s="66" t="s">
        <v>24</v>
      </c>
      <c r="BW24" s="66"/>
      <c r="BX24" s="66" t="s">
        <v>24</v>
      </c>
      <c r="BY24" s="66"/>
      <c r="BZ24" s="66"/>
      <c r="CA24" s="66" t="s">
        <v>24</v>
      </c>
      <c r="CB24" s="66"/>
      <c r="CC24" s="66"/>
      <c r="CD24" s="66"/>
      <c r="CE24" s="66"/>
      <c r="CF24" s="66" t="s">
        <v>24</v>
      </c>
      <c r="CG24" s="66"/>
      <c r="CH24" s="66"/>
      <c r="CI24" s="66" t="s">
        <v>24</v>
      </c>
      <c r="CJ24" s="66" t="s">
        <v>24</v>
      </c>
      <c r="CK24" s="66"/>
      <c r="CL24" s="66" t="s">
        <v>24</v>
      </c>
      <c r="CM24" s="63"/>
      <c r="CN24" s="63"/>
      <c r="CO24" s="63"/>
      <c r="CP24" s="63"/>
      <c r="CQ24" s="63"/>
      <c r="CR24" s="63"/>
      <c r="CS24" s="63"/>
      <c r="CT24" s="63"/>
      <c r="CU24" s="63"/>
      <c r="CV24" s="63"/>
      <c r="CW24" s="63"/>
      <c r="CX24" s="63"/>
      <c r="CY24" s="63"/>
      <c r="CZ24" s="63"/>
      <c r="DA24" s="63"/>
      <c r="DB24" s="63"/>
      <c r="DC24" s="63"/>
      <c r="DD24" s="63"/>
      <c r="DE24" s="63"/>
      <c r="DF24" s="63"/>
      <c r="DG24" s="63"/>
      <c r="DH24" s="63"/>
      <c r="DI24" s="63"/>
      <c r="DJ24" s="63"/>
      <c r="DK24" s="63"/>
      <c r="DL24" s="63"/>
      <c r="DM24" s="63"/>
      <c r="DN24" s="63"/>
      <c r="DO24" s="63"/>
      <c r="DP24" s="63"/>
      <c r="DQ24" s="63"/>
      <c r="DR24" s="63"/>
      <c r="DS24" s="63"/>
      <c r="DT24" s="63"/>
      <c r="DU24" s="63"/>
      <c r="DV24" s="63"/>
      <c r="DW24" s="63"/>
      <c r="DX24" s="63"/>
      <c r="DY24" s="63"/>
      <c r="DZ24" s="63"/>
    </row>
    <row r="25" spans="1:130" s="15" customFormat="1">
      <c r="A25" s="34" t="s">
        <v>265</v>
      </c>
      <c r="B25" s="37" t="s">
        <v>24</v>
      </c>
      <c r="C25" s="36" t="s">
        <v>24</v>
      </c>
      <c r="D25" s="36" t="s">
        <v>24</v>
      </c>
      <c r="E25" s="36" t="s">
        <v>24</v>
      </c>
      <c r="F25" s="36" t="s">
        <v>24</v>
      </c>
      <c r="G25" s="36" t="s">
        <v>24</v>
      </c>
      <c r="H25" s="36"/>
      <c r="I25" s="36"/>
      <c r="J25" s="36"/>
      <c r="K25" s="36"/>
      <c r="L25" s="36"/>
      <c r="M25" s="36"/>
      <c r="N25" s="36"/>
      <c r="O25" s="36"/>
      <c r="P25" s="35"/>
      <c r="Q25" s="35" t="s">
        <v>24</v>
      </c>
      <c r="R25" s="35" t="s">
        <v>24</v>
      </c>
      <c r="S25" s="36"/>
      <c r="T25" s="36"/>
      <c r="U25" s="36"/>
      <c r="V25" s="36"/>
      <c r="W25" s="36"/>
      <c r="X25" s="36"/>
      <c r="Y25" s="36"/>
      <c r="Z25" s="35"/>
      <c r="AA25" s="35"/>
      <c r="AB25" s="35"/>
      <c r="AC25" s="35"/>
      <c r="AD25" s="36"/>
      <c r="AE25" s="36"/>
      <c r="AF25" s="36"/>
      <c r="AG25" s="36"/>
      <c r="AH25" s="36"/>
      <c r="AI25" s="36"/>
      <c r="AJ25" s="35"/>
      <c r="AK25" s="35"/>
      <c r="AL25" s="35"/>
      <c r="AM25" s="35"/>
      <c r="AN25" s="36"/>
      <c r="AO25" s="36"/>
      <c r="AP25" s="36"/>
      <c r="AQ25" s="36"/>
      <c r="AR25" s="36"/>
      <c r="AS25" s="36"/>
      <c r="AT25" s="36"/>
      <c r="AU25" s="36"/>
      <c r="AV25" s="36"/>
      <c r="AW25" s="36"/>
      <c r="AX25" s="36"/>
      <c r="AY25" s="36"/>
      <c r="AZ25" s="36"/>
      <c r="BA25" s="36"/>
      <c r="BB25" s="36"/>
      <c r="BC25" s="36"/>
      <c r="BD25" s="36"/>
      <c r="BE25" s="36"/>
      <c r="BF25" s="36"/>
      <c r="BG25" s="36"/>
      <c r="BH25" s="36"/>
      <c r="BI25" s="48"/>
      <c r="BJ25" s="36"/>
      <c r="BK25" s="36"/>
      <c r="BL25" s="36"/>
      <c r="BM25" s="36"/>
      <c r="BN25" s="72"/>
      <c r="BO25" s="36" t="s">
        <v>24</v>
      </c>
      <c r="BP25" s="36" t="s">
        <v>24</v>
      </c>
      <c r="BQ25" s="48"/>
      <c r="BR25" s="36" t="s">
        <v>24</v>
      </c>
      <c r="BS25" s="36"/>
      <c r="BT25" s="72"/>
      <c r="BU25" s="36" t="s">
        <v>24</v>
      </c>
      <c r="BV25" s="36" t="s">
        <v>24</v>
      </c>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48"/>
      <c r="DD25" s="22"/>
      <c r="DE25" s="22"/>
      <c r="DF25" s="22"/>
      <c r="DG25" s="22"/>
      <c r="DH25" s="22"/>
      <c r="DI25" s="22"/>
      <c r="DJ25" s="22"/>
      <c r="DK25" s="22"/>
      <c r="DL25" s="22"/>
      <c r="DM25" s="22"/>
      <c r="DN25" s="22"/>
      <c r="DO25" s="22"/>
      <c r="DP25" s="22"/>
      <c r="DQ25" s="22"/>
      <c r="DR25" s="22"/>
      <c r="DS25" s="22"/>
      <c r="DT25" s="22"/>
      <c r="DU25" s="22"/>
      <c r="DV25" s="48"/>
      <c r="DW25" s="48"/>
      <c r="DX25" s="48"/>
      <c r="DY25" s="48"/>
      <c r="DZ25" s="48"/>
    </row>
    <row r="26" spans="1:130" s="40" customFormat="1">
      <c r="A26" s="71" t="s">
        <v>321</v>
      </c>
      <c r="B26" s="73" t="s">
        <v>24</v>
      </c>
      <c r="C26" s="72" t="s">
        <v>24</v>
      </c>
      <c r="D26" s="72" t="s">
        <v>24</v>
      </c>
      <c r="E26" s="72" t="s">
        <v>24</v>
      </c>
      <c r="F26" s="72" t="s">
        <v>24</v>
      </c>
      <c r="G26" s="72" t="s">
        <v>24</v>
      </c>
      <c r="H26" s="72"/>
      <c r="I26" s="72"/>
      <c r="J26" s="72"/>
      <c r="K26" s="72" t="s">
        <v>24</v>
      </c>
      <c r="L26" s="72" t="s">
        <v>24</v>
      </c>
      <c r="M26" s="72" t="s">
        <v>24</v>
      </c>
      <c r="N26" s="72"/>
      <c r="O26" s="72"/>
      <c r="P26" s="35"/>
      <c r="Q26" s="35"/>
      <c r="R26" s="35"/>
      <c r="S26" s="72"/>
      <c r="T26" s="72"/>
      <c r="U26" s="72"/>
      <c r="V26" s="72" t="s">
        <v>24</v>
      </c>
      <c r="W26" s="72" t="s">
        <v>24</v>
      </c>
      <c r="X26" s="72" t="s">
        <v>24</v>
      </c>
      <c r="Y26" s="72"/>
      <c r="Z26" s="35"/>
      <c r="AA26" s="35"/>
      <c r="AB26" s="35"/>
      <c r="AC26" s="35"/>
      <c r="AD26" s="72"/>
      <c r="AE26" s="72"/>
      <c r="AF26" s="72"/>
      <c r="AG26" s="72"/>
      <c r="AH26" s="72"/>
      <c r="AI26" s="72"/>
      <c r="AJ26" s="35"/>
      <c r="AK26" s="35"/>
      <c r="AL26" s="35"/>
      <c r="AM26" s="35"/>
      <c r="AN26" s="72"/>
      <c r="AO26" s="72"/>
      <c r="AP26" s="72"/>
      <c r="AQ26" s="72"/>
      <c r="AR26" s="72"/>
      <c r="AS26" s="72"/>
      <c r="AT26" s="72"/>
      <c r="AU26" s="72"/>
      <c r="AV26" s="72"/>
      <c r="AW26" s="72"/>
      <c r="AX26" s="72"/>
      <c r="AY26" s="72" t="s">
        <v>24</v>
      </c>
      <c r="AZ26" s="72" t="s">
        <v>24</v>
      </c>
      <c r="BA26" s="72" t="s">
        <v>24</v>
      </c>
      <c r="BB26" s="72" t="s">
        <v>24</v>
      </c>
      <c r="BC26" s="72" t="s">
        <v>24</v>
      </c>
      <c r="BD26" s="72" t="s">
        <v>24</v>
      </c>
      <c r="BE26" s="72" t="s">
        <v>24</v>
      </c>
      <c r="BF26" s="72"/>
      <c r="BG26" s="72"/>
      <c r="BH26" s="72"/>
      <c r="BI26" s="72"/>
      <c r="BJ26" s="72"/>
      <c r="BK26" s="72"/>
      <c r="BL26" s="72"/>
      <c r="BM26" s="72"/>
      <c r="BN26" s="72"/>
      <c r="BO26" s="72" t="s">
        <v>24</v>
      </c>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c r="DK26" s="72"/>
      <c r="DL26" s="72"/>
      <c r="DM26" s="72"/>
      <c r="DN26" s="72"/>
      <c r="DO26" s="72" t="s">
        <v>24</v>
      </c>
      <c r="DP26" s="72" t="s">
        <v>24</v>
      </c>
      <c r="DQ26" s="72"/>
      <c r="DR26" s="72" t="s">
        <v>24</v>
      </c>
      <c r="DS26" s="72"/>
      <c r="DT26" s="72"/>
      <c r="DU26" s="72"/>
      <c r="DV26" s="72"/>
      <c r="DW26" s="72"/>
      <c r="DX26" s="72"/>
      <c r="DY26" s="72"/>
      <c r="DZ26" s="72"/>
    </row>
    <row r="27" spans="1:130">
      <c r="A27" s="21" t="s">
        <v>198</v>
      </c>
      <c r="B27" s="23" t="s">
        <v>148</v>
      </c>
      <c r="C27" s="22" t="s">
        <v>24</v>
      </c>
      <c r="D27" s="22" t="s">
        <v>24</v>
      </c>
      <c r="E27" s="22" t="s">
        <v>24</v>
      </c>
      <c r="F27" s="22" t="s">
        <v>24</v>
      </c>
      <c r="G27" s="22" t="s">
        <v>24</v>
      </c>
      <c r="H27" s="22"/>
      <c r="I27" s="22"/>
      <c r="J27" s="22"/>
      <c r="K27" s="22" t="s">
        <v>24</v>
      </c>
      <c r="L27" s="22" t="s">
        <v>24</v>
      </c>
      <c r="M27" s="22"/>
      <c r="N27" s="22"/>
      <c r="O27" s="22"/>
      <c r="P27" s="47"/>
      <c r="Q27" s="48"/>
      <c r="R27" s="48"/>
      <c r="S27" s="22"/>
      <c r="T27" s="22"/>
      <c r="U27" s="22"/>
      <c r="V27" s="22" t="s">
        <v>24</v>
      </c>
      <c r="W27" s="22" t="s">
        <v>24</v>
      </c>
      <c r="X27" s="22" t="s">
        <v>24</v>
      </c>
      <c r="Y27" s="22"/>
      <c r="Z27" s="47"/>
      <c r="AA27" s="47"/>
      <c r="AB27" s="47"/>
      <c r="AC27" s="47"/>
      <c r="AD27" s="22" t="s">
        <v>148</v>
      </c>
      <c r="AE27" s="22" t="s">
        <v>148</v>
      </c>
      <c r="AF27" s="22" t="s">
        <v>148</v>
      </c>
      <c r="AG27" s="22" t="s">
        <v>148</v>
      </c>
      <c r="AH27" s="22" t="s">
        <v>148</v>
      </c>
      <c r="AI27" s="22" t="s">
        <v>148</v>
      </c>
      <c r="AJ27" s="47" t="s">
        <v>24</v>
      </c>
      <c r="AK27" s="47"/>
      <c r="AL27" s="47"/>
      <c r="AM27" s="47" t="s">
        <v>24</v>
      </c>
      <c r="AN27" s="22" t="s">
        <v>148</v>
      </c>
      <c r="AO27" s="22" t="s">
        <v>148</v>
      </c>
      <c r="AP27" s="22"/>
      <c r="AQ27" s="22"/>
      <c r="AR27" s="22"/>
      <c r="AS27" s="22"/>
      <c r="AT27" s="22"/>
      <c r="AU27" s="22"/>
      <c r="AV27" s="22"/>
      <c r="AW27" s="22"/>
      <c r="AX27" s="22"/>
      <c r="AY27" s="22"/>
      <c r="AZ27" s="22"/>
      <c r="BA27" s="22"/>
      <c r="BB27" s="22"/>
      <c r="BC27" s="22"/>
      <c r="BD27" s="22"/>
      <c r="BE27" s="22"/>
      <c r="BF27" s="22"/>
      <c r="BG27" s="22"/>
      <c r="BH27" s="22"/>
      <c r="BI27" s="48"/>
      <c r="BJ27" s="22"/>
      <c r="BK27" s="22"/>
      <c r="BL27" s="22"/>
      <c r="BM27" s="22"/>
      <c r="BN27" s="72"/>
      <c r="BO27" s="22"/>
      <c r="BP27" s="22"/>
      <c r="BQ27" s="48"/>
      <c r="BR27" s="22"/>
      <c r="BS27" s="22"/>
      <c r="BT27" s="72"/>
      <c r="BU27" s="22"/>
      <c r="BV27" s="22"/>
      <c r="BW27" s="22"/>
      <c r="BX27" s="22"/>
      <c r="BY27" s="22"/>
      <c r="BZ27" s="22"/>
      <c r="CA27" s="22"/>
      <c r="CB27" s="22"/>
      <c r="CC27" s="22"/>
      <c r="CD27" s="22"/>
      <c r="CE27" s="22"/>
      <c r="CF27" s="22"/>
      <c r="CG27" s="22"/>
      <c r="CH27" s="22"/>
      <c r="CI27" s="22"/>
      <c r="CJ27" s="22"/>
      <c r="CK27" s="22"/>
      <c r="CL27" s="22"/>
      <c r="CM27" s="22"/>
      <c r="CN27" s="22"/>
      <c r="CO27" s="22" t="s">
        <v>148</v>
      </c>
      <c r="CP27" s="22"/>
      <c r="CQ27" s="22"/>
      <c r="CR27" s="22"/>
      <c r="CS27" s="22"/>
      <c r="CT27" s="22"/>
      <c r="CU27" s="22"/>
      <c r="CV27" s="22"/>
      <c r="CW27" s="22"/>
      <c r="CX27" s="22"/>
      <c r="CY27" s="22"/>
      <c r="CZ27" s="22"/>
      <c r="DA27" s="22"/>
      <c r="DB27" s="22"/>
      <c r="DC27" s="48"/>
      <c r="DD27" s="22"/>
      <c r="DE27" s="22"/>
      <c r="DF27" s="22"/>
      <c r="DG27" s="22"/>
      <c r="DH27" s="22"/>
      <c r="DI27" s="22"/>
      <c r="DJ27" s="22"/>
      <c r="DK27" s="22"/>
      <c r="DL27" s="22"/>
      <c r="DM27" s="22"/>
      <c r="DN27" s="22"/>
      <c r="DO27" s="22"/>
      <c r="DP27" s="22"/>
      <c r="DQ27" s="22"/>
      <c r="DR27" s="22"/>
      <c r="DS27" s="22"/>
      <c r="DT27" s="22"/>
      <c r="DU27" s="22"/>
      <c r="DV27" s="48"/>
      <c r="DW27" s="48"/>
      <c r="DX27" s="48"/>
      <c r="DY27" s="48"/>
      <c r="DZ27" s="48"/>
    </row>
    <row r="28" spans="1:130">
      <c r="A28" s="68" t="s">
        <v>316</v>
      </c>
      <c r="B28" s="70" t="s">
        <v>24</v>
      </c>
      <c r="C28" s="69"/>
      <c r="D28" s="69"/>
      <c r="E28" s="69"/>
      <c r="F28" s="69"/>
      <c r="G28" s="69"/>
      <c r="H28" s="69"/>
      <c r="I28" s="69"/>
      <c r="J28" s="69"/>
      <c r="K28" s="69"/>
      <c r="L28" s="69"/>
      <c r="M28" s="69"/>
      <c r="N28" s="69"/>
      <c r="O28" s="69" t="s">
        <v>24</v>
      </c>
      <c r="P28" s="69"/>
      <c r="Q28" s="69"/>
      <c r="R28" s="69"/>
      <c r="S28" s="69"/>
      <c r="T28" s="69"/>
      <c r="U28" s="69"/>
      <c r="V28" s="69"/>
      <c r="W28" s="69"/>
      <c r="X28" s="69"/>
      <c r="Y28" s="69"/>
      <c r="Z28" s="69"/>
      <c r="AA28" s="69"/>
      <c r="AB28" s="69"/>
      <c r="AC28" s="69"/>
      <c r="AD28" s="69"/>
      <c r="AE28" s="69"/>
      <c r="AF28" s="69"/>
      <c r="AG28" s="69"/>
      <c r="AH28" s="69"/>
      <c r="AI28" s="69"/>
      <c r="AJ28" s="69"/>
      <c r="AK28" s="69"/>
      <c r="AL28" s="69"/>
      <c r="AM28" s="69"/>
      <c r="AN28" s="69"/>
      <c r="AO28" s="69"/>
      <c r="AP28" s="69"/>
      <c r="AQ28" s="69"/>
      <c r="AR28" s="69"/>
      <c r="AS28" s="69"/>
      <c r="AT28" s="69"/>
      <c r="AU28" s="69"/>
      <c r="AV28" s="69"/>
      <c r="AW28" s="69"/>
      <c r="AX28" s="69"/>
      <c r="AY28" s="69"/>
      <c r="AZ28" s="69"/>
      <c r="BA28" s="69"/>
      <c r="BB28" s="69"/>
      <c r="BC28" s="69"/>
      <c r="BD28" s="69"/>
      <c r="BE28" s="69"/>
      <c r="BF28" s="69"/>
      <c r="BG28" s="69"/>
      <c r="BH28" s="69"/>
      <c r="BI28" s="69"/>
      <c r="BJ28" s="69"/>
      <c r="BK28" s="69"/>
      <c r="BL28" s="69"/>
      <c r="BM28" s="69"/>
      <c r="BN28" s="72"/>
      <c r="BO28" s="69" t="s">
        <v>24</v>
      </c>
      <c r="BP28" s="69"/>
      <c r="BQ28" s="69"/>
      <c r="BR28" s="69"/>
      <c r="BS28" s="69"/>
      <c r="BT28" s="72"/>
      <c r="BU28" s="69" t="s">
        <v>24</v>
      </c>
      <c r="BV28" s="69" t="s">
        <v>24</v>
      </c>
      <c r="BW28" s="69" t="s">
        <v>24</v>
      </c>
      <c r="BX28" s="69"/>
      <c r="BY28" s="69" t="s">
        <v>24</v>
      </c>
      <c r="BZ28" s="69"/>
      <c r="CA28" s="69" t="s">
        <v>24</v>
      </c>
      <c r="CB28" s="69"/>
      <c r="CC28" s="69"/>
      <c r="CD28" s="69"/>
      <c r="CE28" s="69"/>
      <c r="CF28" s="69" t="s">
        <v>24</v>
      </c>
      <c r="CG28" s="69"/>
      <c r="CH28" s="69"/>
      <c r="CI28" s="69"/>
      <c r="CJ28" s="69"/>
      <c r="CK28" s="69"/>
      <c r="CL28" s="69" t="s">
        <v>24</v>
      </c>
      <c r="CM28" s="69"/>
      <c r="CN28" s="69"/>
      <c r="CO28" s="69"/>
      <c r="CP28" s="69"/>
      <c r="CQ28" s="69"/>
      <c r="CR28" s="69"/>
      <c r="CS28" s="69"/>
      <c r="CT28" s="69"/>
      <c r="CU28" s="69"/>
      <c r="CV28" s="69"/>
      <c r="CW28" s="69"/>
      <c r="CX28" s="69"/>
      <c r="CY28" s="69"/>
      <c r="CZ28" s="69"/>
      <c r="DA28" s="69"/>
      <c r="DB28" s="69"/>
      <c r="DC28" s="69"/>
      <c r="DD28" s="69"/>
      <c r="DE28" s="69"/>
      <c r="DF28" s="69"/>
      <c r="DG28" s="69"/>
      <c r="DH28" s="69"/>
      <c r="DI28" s="69"/>
      <c r="DJ28" s="69"/>
      <c r="DK28" s="69"/>
      <c r="DL28" s="69"/>
      <c r="DM28" s="69"/>
      <c r="DN28" s="69"/>
      <c r="DO28" s="69"/>
      <c r="DP28" s="69"/>
      <c r="DQ28" s="68"/>
      <c r="DR28" s="68" t="s">
        <v>24</v>
      </c>
      <c r="DS28" s="22"/>
      <c r="DT28" s="22"/>
      <c r="DU28" s="22"/>
      <c r="DV28" s="48"/>
      <c r="DW28" s="48"/>
      <c r="DX28" s="48"/>
      <c r="DY28" s="48"/>
      <c r="DZ28" s="48"/>
    </row>
    <row r="29" spans="1:130">
      <c r="A29" s="15"/>
      <c r="B29" s="9"/>
      <c r="C29" s="15"/>
      <c r="D29" s="15"/>
      <c r="E29" s="15"/>
      <c r="F29" s="15"/>
      <c r="G29" s="15"/>
      <c r="H29" s="15"/>
      <c r="I29" s="15"/>
      <c r="J29" s="15"/>
      <c r="K29" s="15"/>
      <c r="L29" s="15"/>
      <c r="M29" s="15"/>
      <c r="N29" s="15"/>
      <c r="O29" s="15"/>
      <c r="S29" s="15"/>
      <c r="T29" s="15"/>
      <c r="U29" s="15"/>
      <c r="V29" s="15"/>
      <c r="W29" s="15"/>
      <c r="X29" s="15"/>
      <c r="Y29" s="15"/>
      <c r="AD29" s="15"/>
      <c r="AE29" s="15"/>
      <c r="AF29" s="15"/>
      <c r="AG29" s="15"/>
      <c r="AH29" s="15"/>
      <c r="AI29" s="15"/>
      <c r="AN29" s="15"/>
      <c r="AO29" s="15"/>
      <c r="AP29" s="15"/>
      <c r="AQ29" s="15"/>
      <c r="AR29" s="15"/>
      <c r="AS29" s="15"/>
      <c r="AT29" s="15"/>
      <c r="AU29" s="15"/>
      <c r="AV29" s="15"/>
      <c r="AW29" s="15"/>
      <c r="AX29" s="15"/>
      <c r="AY29" s="15"/>
      <c r="AZ29" s="15"/>
      <c r="BA29" s="15"/>
      <c r="BB29" s="15"/>
      <c r="BC29" s="15"/>
      <c r="BD29" s="15"/>
      <c r="BE29" s="15"/>
      <c r="BF29" s="15"/>
      <c r="BG29" s="15"/>
      <c r="BH29" s="15"/>
      <c r="BJ29" s="15"/>
      <c r="BK29" s="15"/>
      <c r="BL29" s="15"/>
      <c r="BM29" s="15"/>
      <c r="BO29" s="15"/>
      <c r="BP29" s="15"/>
      <c r="BR29" s="15"/>
      <c r="BS29" s="15"/>
      <c r="BU29" s="15"/>
      <c r="BV29" s="15"/>
      <c r="BW29" s="15"/>
      <c r="BX29" s="15"/>
      <c r="BY29" s="15"/>
      <c r="BZ29" s="15"/>
      <c r="CA29" s="15"/>
      <c r="CB29" s="15"/>
      <c r="CC29" s="15"/>
      <c r="CD29" s="15"/>
      <c r="CF29" s="15"/>
      <c r="CG29" s="15"/>
      <c r="CH29" s="15"/>
      <c r="CI29" s="15"/>
      <c r="CJ29" s="15"/>
      <c r="CL29" s="15"/>
      <c r="CM29" s="15"/>
      <c r="CN29" s="15"/>
      <c r="CO29" s="15"/>
      <c r="CP29" s="15"/>
      <c r="CQ29" s="15"/>
      <c r="CR29" s="15"/>
      <c r="CS29" s="15"/>
      <c r="CT29" s="15"/>
      <c r="CU29" s="15"/>
      <c r="CV29" s="15"/>
      <c r="CW29" s="15"/>
      <c r="CX29" s="15"/>
      <c r="CY29" s="15"/>
      <c r="CZ29" s="15"/>
      <c r="DA29" s="15"/>
      <c r="DB29" s="15"/>
      <c r="DD29" s="15"/>
      <c r="DE29" s="15"/>
      <c r="DF29" s="15"/>
      <c r="DG29" s="15"/>
      <c r="DH29" s="15"/>
      <c r="DI29" s="15"/>
      <c r="DJ29" s="15"/>
      <c r="DK29" s="15"/>
      <c r="DL29" s="15"/>
      <c r="DM29" s="15"/>
      <c r="DN29" s="15"/>
      <c r="DO29" s="15"/>
      <c r="DP29" s="15"/>
      <c r="DQ29" s="15"/>
      <c r="DR29" s="15"/>
      <c r="DS29" s="15"/>
      <c r="DT29" s="15"/>
      <c r="DU29" s="15"/>
      <c r="DV29" s="50"/>
      <c r="DW29" s="50"/>
      <c r="DX29" s="50"/>
      <c r="DY29" s="50"/>
      <c r="DZ29" s="50"/>
    </row>
    <row r="30" spans="1:130">
      <c r="B30" t="s">
        <v>262</v>
      </c>
    </row>
    <row r="31" spans="1:130">
      <c r="CY31" s="15"/>
    </row>
  </sheetData>
  <mergeCells count="11">
    <mergeCell ref="C2:O2"/>
    <mergeCell ref="AN2:AX2"/>
    <mergeCell ref="AY2:BF2"/>
    <mergeCell ref="BG2:BM2"/>
    <mergeCell ref="S2:AC2"/>
    <mergeCell ref="AD2:AM2"/>
    <mergeCell ref="DW2:DZ2"/>
    <mergeCell ref="BO2:CN2"/>
    <mergeCell ref="CO2:DM2"/>
    <mergeCell ref="DP2:DS2"/>
    <mergeCell ref="DT2:DV2"/>
  </mergeCells>
  <conditionalFormatting sqref="L12:O15 B12:H15 DW22:DY22 AU19:BC19 AR17:BC18 AW9:DP9 AN10:BW11 AQ27:DZ27 BY10:DU11 A5:O8 AN5:DU8 AR12:DU16 AN12:AQ18 DS28:DZ28 AQ20:DU26 BO17:DU19 BD18:BN18 AD20:AI27 AN20:AP27 B16:O27 Z5:AC26 P5:R26 A9:A27 AJ5:AM27 S5:Y27 AD5:AI18 C9:O11">
    <cfRule type="expression" dxfId="23" priority="29" stopIfTrue="1">
      <formula>ISEVEN(ROW(A5))</formula>
    </cfRule>
  </conditionalFormatting>
  <conditionalFormatting sqref="DZ22 DV5:DV8 DV10:DV26 DW5:DZ21">
    <cfRule type="expression" dxfId="22" priority="27">
      <formula>ISEVEN(ROW(DV5))</formula>
    </cfRule>
  </conditionalFormatting>
  <conditionalFormatting sqref="I12:K15 AN9:AP9 Z27:AC27 P27:R27">
    <cfRule type="expression" dxfId="21" priority="26" stopIfTrue="1">
      <formula>ISEVEN(ROW(I9))</formula>
    </cfRule>
  </conditionalFormatting>
  <conditionalFormatting sqref="DQ9:DV9">
    <cfRule type="expression" dxfId="20" priority="24">
      <formula>ISEVEN(ROW(DQ9))</formula>
    </cfRule>
  </conditionalFormatting>
  <conditionalFormatting sqref="AR9 AU9">
    <cfRule type="expression" dxfId="19" priority="23" stopIfTrue="1">
      <formula>ISEVEN(ROW(AR9))</formula>
    </cfRule>
  </conditionalFormatting>
  <conditionalFormatting sqref="AQ9">
    <cfRule type="expression" dxfId="18" priority="22" stopIfTrue="1">
      <formula>ISEVEN(ROW(AQ9))</formula>
    </cfRule>
  </conditionalFormatting>
  <conditionalFormatting sqref="AS9">
    <cfRule type="expression" dxfId="17" priority="21" stopIfTrue="1">
      <formula>ISEVEN(ROW(AS9))</formula>
    </cfRule>
  </conditionalFormatting>
  <conditionalFormatting sqref="AT9">
    <cfRule type="expression" dxfId="16" priority="20" stopIfTrue="1">
      <formula>ISEVEN(ROW(AT9))</formula>
    </cfRule>
  </conditionalFormatting>
  <conditionalFormatting sqref="AV9">
    <cfRule type="expression" dxfId="15" priority="19" stopIfTrue="1">
      <formula>ISEVEN(ROW(AV9))</formula>
    </cfRule>
  </conditionalFormatting>
  <conditionalFormatting sqref="B9">
    <cfRule type="expression" dxfId="14" priority="18" stopIfTrue="1">
      <formula>ISEVEN(ROW(B9))</formula>
    </cfRule>
  </conditionalFormatting>
  <conditionalFormatting sqref="AD19:AI19">
    <cfRule type="expression" dxfId="13" priority="15" stopIfTrue="1">
      <formula>ISEVEN(ROW(AD19))</formula>
    </cfRule>
  </conditionalFormatting>
  <conditionalFormatting sqref="AN19:AT19">
    <cfRule type="expression" dxfId="12" priority="14" stopIfTrue="1">
      <formula>ISEVEN(ROW(AN19))</formula>
    </cfRule>
  </conditionalFormatting>
  <conditionalFormatting sqref="DW23:DZ26">
    <cfRule type="expression" dxfId="11" priority="13">
      <formula>ISEVEN(ROW(DW23))</formula>
    </cfRule>
  </conditionalFormatting>
  <conditionalFormatting sqref="BX10:BX11">
    <cfRule type="expression" dxfId="10" priority="11" stopIfTrue="1">
      <formula>ISEVEN(ROW(BX10))</formula>
    </cfRule>
  </conditionalFormatting>
  <conditionalFormatting sqref="B10:B11">
    <cfRule type="expression" dxfId="9" priority="10" stopIfTrue="1">
      <formula>ISEVEN(ROW(B10))</formula>
    </cfRule>
  </conditionalFormatting>
  <conditionalFormatting sqref="AW28:DP28 Z28:AC28 P28:R28 A28 AJ28:AM28">
    <cfRule type="expression" dxfId="8" priority="9" stopIfTrue="1">
      <formula>ISEVEN(ROW(A28))</formula>
    </cfRule>
  </conditionalFormatting>
  <conditionalFormatting sqref="S28:Y28 AD28:AI28 AN28:AP28 C28:O28">
    <cfRule type="expression" dxfId="7" priority="8" stopIfTrue="1">
      <formula>ISEVEN(ROW(C28))</formula>
    </cfRule>
  </conditionalFormatting>
  <conditionalFormatting sqref="DQ28:DR28">
    <cfRule type="expression" dxfId="6" priority="7">
      <formula>ISEVEN(ROW(DQ28))</formula>
    </cfRule>
  </conditionalFormatting>
  <conditionalFormatting sqref="AR28 AU28">
    <cfRule type="expression" dxfId="5" priority="6" stopIfTrue="1">
      <formula>ISEVEN(ROW(AR28))</formula>
    </cfRule>
  </conditionalFormatting>
  <conditionalFormatting sqref="AQ28">
    <cfRule type="expression" dxfId="4" priority="5" stopIfTrue="1">
      <formula>ISEVEN(ROW(AQ28))</formula>
    </cfRule>
  </conditionalFormatting>
  <conditionalFormatting sqref="AS28">
    <cfRule type="expression" dxfId="3" priority="4" stopIfTrue="1">
      <formula>ISEVEN(ROW(AS28))</formula>
    </cfRule>
  </conditionalFormatting>
  <conditionalFormatting sqref="AT28">
    <cfRule type="expression" dxfId="2" priority="3" stopIfTrue="1">
      <formula>ISEVEN(ROW(AT28))</formula>
    </cfRule>
  </conditionalFormatting>
  <conditionalFormatting sqref="AV28">
    <cfRule type="expression" dxfId="1" priority="2" stopIfTrue="1">
      <formula>ISEVEN(ROW(AV28))</formula>
    </cfRule>
  </conditionalFormatting>
  <conditionalFormatting sqref="B28">
    <cfRule type="expression" dxfId="0" priority="1" stopIfTrue="1">
      <formula>ISEVEN(ROW(B28))</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253"/>
  <sheetViews>
    <sheetView tabSelected="1" zoomScaleNormal="100" workbookViewId="0">
      <pane ySplit="1" topLeftCell="A2" activePane="bottomLeft" state="frozen"/>
      <selection pane="bottomLeft" sqref="A1:H254"/>
    </sheetView>
  </sheetViews>
  <sheetFormatPr defaultRowHeight="14.4"/>
  <cols>
    <col min="1" max="1" width="9.109375" style="19"/>
  </cols>
  <sheetData>
    <row r="1" spans="1:12">
      <c r="A1" s="19" t="s">
        <v>66</v>
      </c>
      <c r="B1" t="s">
        <v>67</v>
      </c>
      <c r="C1" t="s">
        <v>68</v>
      </c>
      <c r="D1" t="s">
        <v>69</v>
      </c>
      <c r="E1" t="s">
        <v>70</v>
      </c>
      <c r="F1" t="s">
        <v>71</v>
      </c>
      <c r="G1" t="s">
        <v>72</v>
      </c>
      <c r="H1" t="s">
        <v>73</v>
      </c>
    </row>
    <row r="2" spans="1:12">
      <c r="A2" s="19" t="s">
        <v>322</v>
      </c>
    </row>
    <row r="6" spans="1:12">
      <c r="C6" t="s">
        <v>33</v>
      </c>
      <c r="D6" t="s">
        <v>33</v>
      </c>
      <c r="E6" t="s">
        <v>33</v>
      </c>
    </row>
    <row r="10" spans="1:12">
      <c r="C10" t="s">
        <v>310</v>
      </c>
      <c r="D10" t="s">
        <v>310</v>
      </c>
    </row>
    <row r="12" spans="1:12">
      <c r="B12" t="s">
        <v>188</v>
      </c>
      <c r="E12" t="s">
        <v>188</v>
      </c>
    </row>
    <row r="17" spans="1:5">
      <c r="B17" t="s">
        <v>312</v>
      </c>
    </row>
    <row r="25" spans="1:5">
      <c r="A25" s="19" t="s">
        <v>323</v>
      </c>
    </row>
    <row r="29" spans="1:5">
      <c r="C29" t="s">
        <v>33</v>
      </c>
      <c r="D29" t="s">
        <v>33</v>
      </c>
      <c r="E29" t="s">
        <v>33</v>
      </c>
    </row>
    <row r="33" spans="1:6">
      <c r="B33" t="s">
        <v>310</v>
      </c>
      <c r="C33" t="s">
        <v>310</v>
      </c>
      <c r="D33" t="s">
        <v>310</v>
      </c>
    </row>
    <row r="35" spans="1:6">
      <c r="B35" t="s">
        <v>188</v>
      </c>
      <c r="D35" t="s">
        <v>188</v>
      </c>
      <c r="E35" t="s">
        <v>188</v>
      </c>
    </row>
    <row r="36" spans="1:6">
      <c r="F36" t="s">
        <v>263</v>
      </c>
    </row>
    <row r="40" spans="1:6">
      <c r="B40" t="s">
        <v>312</v>
      </c>
    </row>
    <row r="41" spans="1:6">
      <c r="F41" t="s">
        <v>65</v>
      </c>
    </row>
    <row r="44" spans="1:6">
      <c r="E44" t="s">
        <v>265</v>
      </c>
      <c r="F44" t="s">
        <v>265</v>
      </c>
    </row>
    <row r="47" spans="1:6">
      <c r="C47" t="s">
        <v>316</v>
      </c>
    </row>
    <row r="48" spans="1:6">
      <c r="A48" s="19" t="s">
        <v>324</v>
      </c>
    </row>
    <row r="51" spans="2:6">
      <c r="B51" t="s">
        <v>292</v>
      </c>
    </row>
    <row r="52" spans="2:6">
      <c r="C52" t="s">
        <v>33</v>
      </c>
      <c r="D52" t="s">
        <v>33</v>
      </c>
      <c r="E52" t="s">
        <v>33</v>
      </c>
    </row>
    <row r="54" spans="2:6">
      <c r="D54" t="s">
        <v>197</v>
      </c>
    </row>
    <row r="56" spans="2:6">
      <c r="B56" t="s">
        <v>310</v>
      </c>
      <c r="C56" t="s">
        <v>310</v>
      </c>
      <c r="D56" t="s">
        <v>310</v>
      </c>
      <c r="E56" t="s">
        <v>310</v>
      </c>
    </row>
    <row r="58" spans="2:6">
      <c r="B58" t="s">
        <v>188</v>
      </c>
      <c r="C58" t="s">
        <v>188</v>
      </c>
      <c r="D58" t="s">
        <v>188</v>
      </c>
      <c r="E58" t="s">
        <v>188</v>
      </c>
    </row>
    <row r="59" spans="2:6">
      <c r="F59" t="s">
        <v>263</v>
      </c>
    </row>
    <row r="62" spans="2:6">
      <c r="F62" t="s">
        <v>264</v>
      </c>
    </row>
    <row r="63" spans="2:6">
      <c r="B63" t="s">
        <v>312</v>
      </c>
    </row>
    <row r="64" spans="2:6">
      <c r="F64" t="s">
        <v>65</v>
      </c>
    </row>
    <row r="67" spans="1:8">
      <c r="E67" t="s">
        <v>265</v>
      </c>
      <c r="F67" t="s">
        <v>265</v>
      </c>
    </row>
    <row r="68" spans="1:8">
      <c r="F68" t="s">
        <v>321</v>
      </c>
    </row>
    <row r="70" spans="1:8">
      <c r="C70" t="s">
        <v>316</v>
      </c>
    </row>
    <row r="71" spans="1:8">
      <c r="A71" s="19" t="s">
        <v>325</v>
      </c>
      <c r="D71" t="s">
        <v>121</v>
      </c>
    </row>
    <row r="72" spans="1:8">
      <c r="C72" t="s">
        <v>35</v>
      </c>
      <c r="E72" t="s">
        <v>35</v>
      </c>
    </row>
    <row r="73" spans="1:8">
      <c r="F73" t="s">
        <v>317</v>
      </c>
    </row>
    <row r="74" spans="1:8">
      <c r="B74" t="s">
        <v>292</v>
      </c>
    </row>
    <row r="75" spans="1:8">
      <c r="B75" t="s">
        <v>33</v>
      </c>
      <c r="C75" t="s">
        <v>33</v>
      </c>
      <c r="D75" t="s">
        <v>33</v>
      </c>
      <c r="E75" t="s">
        <v>33</v>
      </c>
    </row>
    <row r="76" spans="1:8">
      <c r="H76" t="s">
        <v>266</v>
      </c>
    </row>
    <row r="77" spans="1:8">
      <c r="B77" t="s">
        <v>197</v>
      </c>
      <c r="D77" t="s">
        <v>197</v>
      </c>
    </row>
    <row r="79" spans="1:8">
      <c r="B79" t="s">
        <v>310</v>
      </c>
      <c r="C79" t="s">
        <v>310</v>
      </c>
      <c r="D79" t="s">
        <v>310</v>
      </c>
      <c r="E79" t="s">
        <v>310</v>
      </c>
    </row>
    <row r="81" spans="1:8">
      <c r="B81" t="s">
        <v>188</v>
      </c>
      <c r="C81" t="s">
        <v>188</v>
      </c>
      <c r="D81" t="s">
        <v>188</v>
      </c>
      <c r="E81" t="s">
        <v>188</v>
      </c>
    </row>
    <row r="82" spans="1:8">
      <c r="F82" t="s">
        <v>263</v>
      </c>
    </row>
    <row r="85" spans="1:8">
      <c r="F85" t="s">
        <v>264</v>
      </c>
    </row>
    <row r="87" spans="1:8">
      <c r="H87" t="s">
        <v>65</v>
      </c>
    </row>
    <row r="90" spans="1:8">
      <c r="E90" t="s">
        <v>265</v>
      </c>
    </row>
    <row r="91" spans="1:8">
      <c r="F91" t="s">
        <v>321</v>
      </c>
    </row>
    <row r="92" spans="1:8">
      <c r="H92" t="s">
        <v>198</v>
      </c>
    </row>
    <row r="93" spans="1:8">
      <c r="C93" t="s">
        <v>316</v>
      </c>
    </row>
    <row r="94" spans="1:8">
      <c r="A94" s="19" t="s">
        <v>326</v>
      </c>
      <c r="D94" t="s">
        <v>121</v>
      </c>
    </row>
    <row r="95" spans="1:8">
      <c r="C95" t="s">
        <v>35</v>
      </c>
      <c r="E95" t="s">
        <v>35</v>
      </c>
    </row>
    <row r="96" spans="1:8">
      <c r="F96" t="s">
        <v>317</v>
      </c>
    </row>
    <row r="97" spans="2:8">
      <c r="B97" t="s">
        <v>292</v>
      </c>
      <c r="D97" t="s">
        <v>292</v>
      </c>
    </row>
    <row r="98" spans="2:8">
      <c r="B98" t="s">
        <v>33</v>
      </c>
    </row>
    <row r="99" spans="2:8">
      <c r="H99" t="s">
        <v>266</v>
      </c>
    </row>
    <row r="100" spans="2:8">
      <c r="B100" t="s">
        <v>197</v>
      </c>
      <c r="D100" t="s">
        <v>197</v>
      </c>
    </row>
    <row r="101" spans="2:8">
      <c r="C101" t="s">
        <v>309</v>
      </c>
      <c r="E101" t="s">
        <v>309</v>
      </c>
    </row>
    <row r="105" spans="2:8">
      <c r="B105" t="s">
        <v>263</v>
      </c>
      <c r="D105" t="s">
        <v>263</v>
      </c>
    </row>
    <row r="108" spans="2:8">
      <c r="F108" t="s">
        <v>264</v>
      </c>
    </row>
    <row r="109" spans="2:8">
      <c r="C109" t="s">
        <v>312</v>
      </c>
      <c r="E109" t="s">
        <v>312</v>
      </c>
    </row>
    <row r="110" spans="2:8">
      <c r="H110" t="s">
        <v>65</v>
      </c>
    </row>
    <row r="111" spans="2:8">
      <c r="C111" t="s">
        <v>270</v>
      </c>
    </row>
    <row r="113" spans="1:8">
      <c r="E113" t="s">
        <v>265</v>
      </c>
    </row>
    <row r="114" spans="1:8">
      <c r="F114" t="s">
        <v>321</v>
      </c>
    </row>
    <row r="115" spans="1:8">
      <c r="H115" t="s">
        <v>198</v>
      </c>
    </row>
    <row r="116" spans="1:8">
      <c r="C116" t="s">
        <v>316</v>
      </c>
    </row>
    <row r="117" spans="1:8">
      <c r="A117" s="19" t="s">
        <v>327</v>
      </c>
      <c r="D117" t="s">
        <v>121</v>
      </c>
    </row>
    <row r="119" spans="1:8">
      <c r="F119" t="s">
        <v>317</v>
      </c>
    </row>
    <row r="120" spans="1:8">
      <c r="D120" t="s">
        <v>292</v>
      </c>
    </row>
    <row r="121" spans="1:8">
      <c r="B121" t="s">
        <v>33</v>
      </c>
    </row>
    <row r="122" spans="1:8">
      <c r="H122" t="s">
        <v>266</v>
      </c>
    </row>
    <row r="123" spans="1:8">
      <c r="B123" t="s">
        <v>197</v>
      </c>
      <c r="D123" t="s">
        <v>197</v>
      </c>
    </row>
    <row r="124" spans="1:8">
      <c r="C124" t="s">
        <v>309</v>
      </c>
      <c r="E124" t="s">
        <v>309</v>
      </c>
    </row>
    <row r="128" spans="1:8">
      <c r="B128" t="s">
        <v>263</v>
      </c>
      <c r="D128" t="s">
        <v>263</v>
      </c>
      <c r="H128" s="40"/>
    </row>
    <row r="129" spans="1:8">
      <c r="C129" t="s">
        <v>311</v>
      </c>
      <c r="E129" t="s">
        <v>311</v>
      </c>
    </row>
    <row r="131" spans="1:8">
      <c r="F131" t="s">
        <v>264</v>
      </c>
    </row>
    <row r="132" spans="1:8">
      <c r="C132" t="s">
        <v>312</v>
      </c>
      <c r="E132" t="s">
        <v>312</v>
      </c>
    </row>
    <row r="133" spans="1:8">
      <c r="H133" t="s">
        <v>65</v>
      </c>
    </row>
    <row r="134" spans="1:8">
      <c r="C134" t="s">
        <v>270</v>
      </c>
    </row>
    <row r="135" spans="1:8">
      <c r="E135" t="s">
        <v>314</v>
      </c>
    </row>
    <row r="137" spans="1:8">
      <c r="F137" t="s">
        <v>321</v>
      </c>
    </row>
    <row r="138" spans="1:8">
      <c r="H138" t="s">
        <v>198</v>
      </c>
    </row>
    <row r="140" spans="1:8">
      <c r="A140" s="19" t="s">
        <v>328</v>
      </c>
    </row>
    <row r="142" spans="1:8">
      <c r="E142" t="s">
        <v>317</v>
      </c>
      <c r="F142" t="s">
        <v>317</v>
      </c>
    </row>
    <row r="143" spans="1:8">
      <c r="D143" t="s">
        <v>292</v>
      </c>
    </row>
    <row r="144" spans="1:8">
      <c r="B144" t="s">
        <v>33</v>
      </c>
    </row>
    <row r="145" spans="2:8">
      <c r="H145" t="s">
        <v>266</v>
      </c>
    </row>
    <row r="146" spans="2:8">
      <c r="B146" t="s">
        <v>197</v>
      </c>
      <c r="C146" t="s">
        <v>197</v>
      </c>
      <c r="D146" t="s">
        <v>197</v>
      </c>
    </row>
    <row r="147" spans="2:8">
      <c r="C147" t="s">
        <v>309</v>
      </c>
      <c r="E147" t="s">
        <v>309</v>
      </c>
    </row>
    <row r="151" spans="2:8">
      <c r="B151" t="s">
        <v>263</v>
      </c>
      <c r="D151" t="s">
        <v>263</v>
      </c>
    </row>
    <row r="152" spans="2:8">
      <c r="C152" t="s">
        <v>311</v>
      </c>
      <c r="D152" t="s">
        <v>311</v>
      </c>
      <c r="E152" t="s">
        <v>311</v>
      </c>
    </row>
    <row r="154" spans="2:8">
      <c r="F154" t="s">
        <v>264</v>
      </c>
    </row>
    <row r="155" spans="2:8">
      <c r="H155" s="40"/>
    </row>
    <row r="156" spans="2:8">
      <c r="H156" t="s">
        <v>65</v>
      </c>
    </row>
    <row r="157" spans="2:8">
      <c r="B157" t="s">
        <v>270</v>
      </c>
      <c r="C157" t="s">
        <v>270</v>
      </c>
      <c r="D157" t="s">
        <v>270</v>
      </c>
    </row>
    <row r="158" spans="2:8">
      <c r="E158" t="s">
        <v>314</v>
      </c>
    </row>
    <row r="160" spans="2:8">
      <c r="F160" t="s">
        <v>321</v>
      </c>
    </row>
    <row r="161" spans="1:8">
      <c r="H161" t="s">
        <v>198</v>
      </c>
    </row>
    <row r="163" spans="1:8">
      <c r="A163" s="19" t="s">
        <v>329</v>
      </c>
    </row>
    <row r="165" spans="1:8">
      <c r="B165" t="s">
        <v>317</v>
      </c>
      <c r="C165" t="s">
        <v>317</v>
      </c>
      <c r="E165" t="s">
        <v>317</v>
      </c>
    </row>
    <row r="166" spans="1:8">
      <c r="C166" t="s">
        <v>292</v>
      </c>
      <c r="D166" t="s">
        <v>292</v>
      </c>
    </row>
    <row r="167" spans="1:8">
      <c r="B167" t="s">
        <v>33</v>
      </c>
    </row>
    <row r="169" spans="1:8">
      <c r="C169" t="s">
        <v>197</v>
      </c>
    </row>
    <row r="172" spans="1:8">
      <c r="E172" t="s">
        <v>318</v>
      </c>
    </row>
    <row r="174" spans="1:8">
      <c r="B174" t="s">
        <v>263</v>
      </c>
      <c r="D174" t="s">
        <v>263</v>
      </c>
    </row>
    <row r="175" spans="1:8">
      <c r="C175" t="s">
        <v>311</v>
      </c>
      <c r="D175" t="s">
        <v>311</v>
      </c>
      <c r="E175" t="s">
        <v>311</v>
      </c>
    </row>
    <row r="178" spans="1:8">
      <c r="D178" t="s">
        <v>312</v>
      </c>
    </row>
    <row r="180" spans="1:8">
      <c r="B180" t="s">
        <v>270</v>
      </c>
      <c r="C180" t="s">
        <v>270</v>
      </c>
      <c r="D180" t="s">
        <v>270</v>
      </c>
    </row>
    <row r="182" spans="1:8">
      <c r="H182" s="40"/>
    </row>
    <row r="186" spans="1:8">
      <c r="A186" s="19" t="s">
        <v>330</v>
      </c>
    </row>
    <row r="188" spans="1:8">
      <c r="B188" t="s">
        <v>317</v>
      </c>
      <c r="C188" t="s">
        <v>317</v>
      </c>
      <c r="E188" t="s">
        <v>317</v>
      </c>
    </row>
    <row r="189" spans="1:8">
      <c r="C189" t="s">
        <v>292</v>
      </c>
    </row>
    <row r="192" spans="1:8">
      <c r="C192" t="s">
        <v>197</v>
      </c>
    </row>
    <row r="195" spans="2:5">
      <c r="E195" t="s">
        <v>318</v>
      </c>
    </row>
    <row r="198" spans="2:5">
      <c r="D198" t="s">
        <v>311</v>
      </c>
      <c r="E198" t="s">
        <v>311</v>
      </c>
    </row>
    <row r="201" spans="2:5">
      <c r="D201" t="s">
        <v>312</v>
      </c>
    </row>
    <row r="203" spans="2:5">
      <c r="B203" t="s">
        <v>270</v>
      </c>
      <c r="D203" t="s">
        <v>270</v>
      </c>
    </row>
    <row r="207" spans="2:5">
      <c r="B207" t="s">
        <v>198</v>
      </c>
      <c r="D207" t="s">
        <v>198</v>
      </c>
    </row>
    <row r="209" spans="1:5">
      <c r="A209" s="19" t="s">
        <v>331</v>
      </c>
    </row>
    <row r="211" spans="1:5">
      <c r="B211" t="s">
        <v>317</v>
      </c>
      <c r="C211" t="s">
        <v>317</v>
      </c>
      <c r="E211" t="s">
        <v>317</v>
      </c>
    </row>
    <row r="212" spans="1:5">
      <c r="C212" t="s">
        <v>292</v>
      </c>
    </row>
    <row r="216" spans="1:5">
      <c r="B216" t="s">
        <v>309</v>
      </c>
      <c r="D216" t="s">
        <v>309</v>
      </c>
    </row>
    <row r="218" spans="1:5">
      <c r="E218" t="s">
        <v>318</v>
      </c>
    </row>
    <row r="224" spans="1:5">
      <c r="D224" t="s">
        <v>312</v>
      </c>
    </row>
    <row r="230" spans="1:5">
      <c r="B230" t="s">
        <v>198</v>
      </c>
      <c r="D230" t="s">
        <v>198</v>
      </c>
    </row>
    <row r="232" spans="1:5">
      <c r="A232" s="19" t="s">
        <v>332</v>
      </c>
    </row>
    <row r="234" spans="1:5">
      <c r="B234" t="s">
        <v>317</v>
      </c>
      <c r="C234" t="s">
        <v>317</v>
      </c>
      <c r="E234" t="s">
        <v>317</v>
      </c>
    </row>
    <row r="235" spans="1:5">
      <c r="C235" t="s">
        <v>292</v>
      </c>
    </row>
    <row r="239" spans="1:5">
      <c r="B239" t="s">
        <v>309</v>
      </c>
      <c r="D239" t="s">
        <v>309</v>
      </c>
    </row>
    <row r="241" spans="2:5">
      <c r="E241" t="s">
        <v>318</v>
      </c>
    </row>
    <row r="247" spans="2:5">
      <c r="D247" t="s">
        <v>312</v>
      </c>
    </row>
    <row r="253" spans="2:5">
      <c r="B253" t="s">
        <v>198</v>
      </c>
      <c r="D253" t="s">
        <v>198</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3"/>
  <sheetViews>
    <sheetView zoomScale="130" zoomScaleNormal="130" workbookViewId="0">
      <selection activeCell="I1" sqref="I1"/>
    </sheetView>
  </sheetViews>
  <sheetFormatPr defaultRowHeight="14.4"/>
  <cols>
    <col min="1" max="1" width="12.109375" bestFit="1" customWidth="1"/>
    <col min="2" max="3" width="8.33203125" bestFit="1" customWidth="1"/>
    <col min="4" max="4" width="11.5546875" bestFit="1" customWidth="1"/>
    <col min="5" max="5" width="9" bestFit="1" customWidth="1"/>
    <col min="6" max="6" width="6.44140625" bestFit="1" customWidth="1"/>
    <col min="7" max="7" width="8.6640625" bestFit="1" customWidth="1"/>
    <col min="8" max="8" width="7.44140625" bestFit="1" customWidth="1"/>
  </cols>
  <sheetData>
    <row r="1" spans="1:13">
      <c r="A1" s="5" t="s">
        <v>85</v>
      </c>
      <c r="B1" t="s">
        <v>92</v>
      </c>
      <c r="I1">
        <v>23</v>
      </c>
      <c r="J1" s="12" t="s">
        <v>135</v>
      </c>
      <c r="M1" s="6"/>
    </row>
    <row r="2" spans="1:13" ht="15" thickBot="1">
      <c r="J2" s="2"/>
      <c r="M2" s="6"/>
    </row>
    <row r="3" spans="1:13" ht="15.6" thickTop="1" thickBot="1">
      <c r="A3" s="3" t="s">
        <v>66</v>
      </c>
      <c r="B3" s="3" t="s">
        <v>67</v>
      </c>
      <c r="C3" s="3" t="s">
        <v>68</v>
      </c>
      <c r="D3" s="3" t="s">
        <v>69</v>
      </c>
      <c r="E3" s="3" t="s">
        <v>70</v>
      </c>
      <c r="F3" s="3" t="s">
        <v>71</v>
      </c>
      <c r="G3" s="3" t="s">
        <v>72</v>
      </c>
      <c r="H3" s="3" t="s">
        <v>73</v>
      </c>
      <c r="I3" s="17">
        <v>0</v>
      </c>
      <c r="J3" s="2" t="str">
        <f>IF(HLOOKUP($B$1,Coverage!$A$4:$DZ$28,ROW()-1,FALSE)="x",Coverage!$A5,"Default")</f>
        <v>Default</v>
      </c>
      <c r="M3" s="6"/>
    </row>
    <row r="4" spans="1:13" ht="15.6" thickTop="1" thickBot="1">
      <c r="A4" s="4" t="s">
        <v>74</v>
      </c>
      <c r="B4" s="16" t="str">
        <f ca="1">IF(SUMPRODUCT(--($J$3:INDIRECT("$J$"&amp;$I$1+2)=INDIRECT("Schedule!"&amp;B$15&amp;($I$1*$I3+2)):INDIRECT("Schedule!"&amp;B$15&amp;($I$1*$I4+1))))&lt;&gt;0,"x","")</f>
        <v>x</v>
      </c>
      <c r="C4" s="16" t="str">
        <f ca="1">IF(SUMPRODUCT(--($J$3:INDIRECT("$J$"&amp;$I$1+2)=INDIRECT("Schedule!"&amp;C$15&amp;($I$1*$I3+2)):INDIRECT("Schedule!"&amp;C$15&amp;($I$1*$I4+1))))&lt;&gt;0,"x","")</f>
        <v>x</v>
      </c>
      <c r="D4" s="16" t="str">
        <f ca="1">IF(SUMPRODUCT(--($J$3:INDIRECT("$J$"&amp;$I$1+2)=INDIRECT("Schedule!"&amp;D$15&amp;($I$1*$I3+2)):INDIRECT("Schedule!"&amp;D$15&amp;($I$1*$I4+1))))&lt;&gt;0,"x","")</f>
        <v>x</v>
      </c>
      <c r="E4" s="16" t="str">
        <f ca="1">IF(SUMPRODUCT(--($J$3:INDIRECT("$J$"&amp;$I$1+2)=INDIRECT("Schedule!"&amp;E$15&amp;($I$1*$I3+2)):INDIRECT("Schedule!"&amp;E$15&amp;($I$1*$I4+1))))&lt;&gt;0,"x","")</f>
        <v>x</v>
      </c>
      <c r="F4" s="7"/>
      <c r="G4" s="7"/>
      <c r="H4" s="7"/>
      <c r="I4" s="17">
        <v>1</v>
      </c>
      <c r="J4" s="40" t="str">
        <f>IF(HLOOKUP($B$1,Coverage!$A$4:$DZ$28,ROW()-1,FALSE)="x",Coverage!$A6,"Default")</f>
        <v>Default</v>
      </c>
      <c r="M4" s="6"/>
    </row>
    <row r="5" spans="1:13" ht="15.6" thickTop="1" thickBot="1">
      <c r="A5" s="4" t="s">
        <v>75</v>
      </c>
      <c r="B5" s="16" t="str">
        <f ca="1">IF(SUMPRODUCT(--($J$3:INDIRECT("$J$"&amp;$I$1+2)=INDIRECT("Schedule!"&amp;B$15&amp;($I$1*$I4+2)):INDIRECT("Schedule!"&amp;B$15&amp;($I$1*$I5+1))))&lt;&gt;0,"x","")</f>
        <v>x</v>
      </c>
      <c r="C5" s="16" t="str">
        <f ca="1">IF(SUMPRODUCT(--($J$3:INDIRECT("$J$"&amp;$I$1+2)=INDIRECT("Schedule!"&amp;C$15&amp;($I$1*$I4+2)):INDIRECT("Schedule!"&amp;C$15&amp;($I$1*$I5+1))))&lt;&gt;0,"x","")</f>
        <v/>
      </c>
      <c r="D5" s="16" t="str">
        <f ca="1">IF(SUMPRODUCT(--($J$3:INDIRECT("$J$"&amp;$I$1+2)=INDIRECT("Schedule!"&amp;D$15&amp;($I$1*$I4+2)):INDIRECT("Schedule!"&amp;D$15&amp;($I$1*$I5+1))))&lt;&gt;0,"x","")</f>
        <v>x</v>
      </c>
      <c r="E5" s="16" t="str">
        <f ca="1">IF(SUMPRODUCT(--($J$3:INDIRECT("$J$"&amp;$I$1+2)=INDIRECT("Schedule!"&amp;E$15&amp;($I$1*$I4+2)):INDIRECT("Schedule!"&amp;E$15&amp;($I$1*$I5+1))))&lt;&gt;0,"x","")</f>
        <v>x</v>
      </c>
      <c r="F5" s="16" t="str">
        <f ca="1">IF(SUMPRODUCT(--($J$3:INDIRECT("$J$"&amp;$I$1+2)=INDIRECT("Schedule!"&amp;F$15&amp;($I$1*$I4+2)):INDIRECT("Schedule!"&amp;F$15&amp;($I$1*$I5+1))))&lt;&gt;0,"x","")</f>
        <v>x</v>
      </c>
      <c r="G5" s="7"/>
      <c r="H5" s="7"/>
      <c r="I5" s="17">
        <v>2</v>
      </c>
      <c r="J5" s="40" t="str">
        <f>IF(HLOOKUP($B$1,Coverage!$A$4:$DZ$28,ROW()-1,FALSE)="x",Coverage!$A7,"Default")</f>
        <v>Default</v>
      </c>
      <c r="M5" s="6"/>
    </row>
    <row r="6" spans="1:13" ht="15.6" thickTop="1" thickBot="1">
      <c r="A6" s="4" t="s">
        <v>76</v>
      </c>
      <c r="B6" s="16" t="str">
        <f ca="1">IF(SUMPRODUCT(--($J$3:INDIRECT("$J$"&amp;$I$1+2)=INDIRECT("Schedule!"&amp;B$15&amp;($I$1*$I5+2)):INDIRECT("Schedule!"&amp;B$15&amp;($I$1*$I6+1))))&lt;&gt;0,"x","")</f>
        <v>x</v>
      </c>
      <c r="C6" s="16" t="str">
        <f ca="1">IF(SUMPRODUCT(--($J$3:INDIRECT("$J$"&amp;$I$1+2)=INDIRECT("Schedule!"&amp;C$15&amp;($I$1*$I5+2)):INDIRECT("Schedule!"&amp;C$15&amp;($I$1*$I6+1))))&lt;&gt;0,"x","")</f>
        <v/>
      </c>
      <c r="D6" s="16" t="str">
        <f ca="1">IF(SUMPRODUCT(--($J$3:INDIRECT("$J$"&amp;$I$1+2)=INDIRECT("Schedule!"&amp;D$15&amp;($I$1*$I5+2)):INDIRECT("Schedule!"&amp;D$15&amp;($I$1*$I6+1))))&lt;&gt;0,"x","")</f>
        <v>x</v>
      </c>
      <c r="E6" s="16" t="str">
        <f ca="1">IF(SUMPRODUCT(--($J$3:INDIRECT("$J$"&amp;$I$1+2)=INDIRECT("Schedule!"&amp;E$15&amp;($I$1*$I5+2)):INDIRECT("Schedule!"&amp;E$15&amp;($I$1*$I6+1))))&lt;&gt;0,"x","")</f>
        <v>x</v>
      </c>
      <c r="F6" s="16" t="str">
        <f ca="1">IF(SUMPRODUCT(--($J$3:INDIRECT("$J$"&amp;$I$1+2)=INDIRECT("Schedule!"&amp;F$15&amp;($I$1*$I5+2)):INDIRECT("Schedule!"&amp;F$15&amp;($I$1*$I6+1))))&lt;&gt;0,"x","")</f>
        <v>x</v>
      </c>
      <c r="G6" s="7"/>
      <c r="H6" s="7"/>
      <c r="I6" s="17">
        <v>3</v>
      </c>
      <c r="J6" s="40" t="str">
        <f>IF(HLOOKUP($B$1,Coverage!$A$4:$DZ$28,ROW()-1,FALSE)="x",Coverage!$A8,"Default")</f>
        <v>Default</v>
      </c>
      <c r="M6" s="6"/>
    </row>
    <row r="7" spans="1:13" ht="15.6" thickTop="1" thickBot="1">
      <c r="A7" s="4" t="s">
        <v>77</v>
      </c>
      <c r="B7" s="16" t="str">
        <f ca="1">IF(SUMPRODUCT(--($J$3:INDIRECT("$J$"&amp;$I$1+2)=INDIRECT("Schedule!"&amp;B$15&amp;($I$1*$I6+2)):INDIRECT("Schedule!"&amp;B$15&amp;($I$1*$I7+1))))&lt;&gt;0,"x","")</f>
        <v>x</v>
      </c>
      <c r="C7" s="16" t="str">
        <f ca="1">IF(SUMPRODUCT(--($J$3:INDIRECT("$J$"&amp;$I$1+2)=INDIRECT("Schedule!"&amp;C$15&amp;($I$1*$I6+2)):INDIRECT("Schedule!"&amp;C$15&amp;($I$1*$I7+1))))&lt;&gt;0,"x","")</f>
        <v/>
      </c>
      <c r="D7" s="16" t="str">
        <f ca="1">IF(SUMPRODUCT(--($J$3:INDIRECT("$J$"&amp;$I$1+2)=INDIRECT("Schedule!"&amp;D$15&amp;($I$1*$I6+2)):INDIRECT("Schedule!"&amp;D$15&amp;($I$1*$I7+1))))&lt;&gt;0,"x","")</f>
        <v>x</v>
      </c>
      <c r="E7" s="16" t="str">
        <f ca="1">IF(SUMPRODUCT(--($J$3:INDIRECT("$J$"&amp;$I$1+2)=INDIRECT("Schedule!"&amp;E$15&amp;($I$1*$I6+2)):INDIRECT("Schedule!"&amp;E$15&amp;($I$1*$I7+1))))&lt;&gt;0,"x","")</f>
        <v>x</v>
      </c>
      <c r="F7" s="16" t="str">
        <f ca="1">IF(SUMPRODUCT(--($J$3:INDIRECT("$J$"&amp;$I$1+2)=INDIRECT("Schedule!"&amp;F$15&amp;($I$1*$I6+2)):INDIRECT("Schedule!"&amp;F$15&amp;($I$1*$I7+1))))&lt;&gt;0,"x","")</f>
        <v>x</v>
      </c>
      <c r="G7" s="7"/>
      <c r="H7" s="16" t="str">
        <f ca="1">IF(SUMPRODUCT(--($J$3:INDIRECT("$J$"&amp;$I$1+2)=INDIRECT("Schedule!"&amp;H$15&amp;($I$1*$I6+2)):INDIRECT("Schedule!"&amp;H$15&amp;($I$1*$I7+1))))&lt;&gt;0,"x","")</f>
        <v>x</v>
      </c>
      <c r="I7" s="17">
        <v>4</v>
      </c>
      <c r="J7" s="40" t="str">
        <f>IF(HLOOKUP($B$1,Coverage!$A$4:$DZ$28,ROW()-1,FALSE)="x",Coverage!$A9,"Default")</f>
        <v>Default</v>
      </c>
      <c r="M7" s="6"/>
    </row>
    <row r="8" spans="1:13" ht="15.6" thickTop="1" thickBot="1">
      <c r="A8" s="4" t="s">
        <v>78</v>
      </c>
      <c r="B8" s="16" t="str">
        <f ca="1">IF(SUMPRODUCT(--($J$3:INDIRECT("$J$"&amp;$I$1+2)=INDIRECT("Schedule!"&amp;B$15&amp;($I$1*$I7+2)):INDIRECT("Schedule!"&amp;B$15&amp;($I$1*$I8+1))))&lt;&gt;0,"x","")</f>
        <v>x</v>
      </c>
      <c r="C8" s="16" t="str">
        <f ca="1">IF(SUMPRODUCT(--($J$3:INDIRECT("$J$"&amp;$I$1+2)=INDIRECT("Schedule!"&amp;C$15&amp;($I$1*$I7+2)):INDIRECT("Schedule!"&amp;C$15&amp;($I$1*$I8+1))))&lt;&gt;0,"x","")</f>
        <v>x</v>
      </c>
      <c r="D8" s="16" t="str">
        <f ca="1">IF(SUMPRODUCT(--($J$3:INDIRECT("$J$"&amp;$I$1+2)=INDIRECT("Schedule!"&amp;D$15&amp;($I$1*$I7+2)):INDIRECT("Schedule!"&amp;D$15&amp;($I$1*$I8+1))))&lt;&gt;0,"x","")</f>
        <v>x</v>
      </c>
      <c r="E8" s="16" t="str">
        <f ca="1">IF(SUMPRODUCT(--($J$3:INDIRECT("$J$"&amp;$I$1+2)=INDIRECT("Schedule!"&amp;E$15&amp;($I$1*$I7+2)):INDIRECT("Schedule!"&amp;E$15&amp;($I$1*$I8+1))))&lt;&gt;0,"x","")</f>
        <v>x</v>
      </c>
      <c r="F8" s="16" t="str">
        <f ca="1">IF(SUMPRODUCT(--($J$3:INDIRECT("$J$"&amp;$I$1+2)=INDIRECT("Schedule!"&amp;F$15&amp;($I$1*$I7+2)):INDIRECT("Schedule!"&amp;F$15&amp;($I$1*$I8+1))))&lt;&gt;0,"x","")</f>
        <v>x</v>
      </c>
      <c r="G8" s="7"/>
      <c r="H8" s="16" t="str">
        <f ca="1">IF(SUMPRODUCT(--($J$3:INDIRECT("$J$"&amp;$I$1+2)=INDIRECT("Schedule!"&amp;H$15&amp;($I$1*$I7+2)):INDIRECT("Schedule!"&amp;H$15&amp;($I$1*$I8+1))))&lt;&gt;0,"x","")</f>
        <v>x</v>
      </c>
      <c r="I8" s="17">
        <v>5</v>
      </c>
      <c r="J8" s="40" t="str">
        <f>IF(HLOOKUP($B$1,Coverage!$A$4:$DZ$28,ROW()-1,FALSE)="x",Coverage!$A10,"Default")</f>
        <v>Default</v>
      </c>
      <c r="M8" s="6"/>
    </row>
    <row r="9" spans="1:13" ht="15.6" thickTop="1" thickBot="1">
      <c r="A9" s="4" t="s">
        <v>79</v>
      </c>
      <c r="B9" s="16" t="str">
        <f ca="1">IF(SUMPRODUCT(--($J$3:INDIRECT("$J$"&amp;$I$1+2)=INDIRECT("Schedule!"&amp;B$15&amp;($I$1*$I8+2)):INDIRECT("Schedule!"&amp;B$15&amp;($I$1*$I9+1))))&lt;&gt;0,"x","")</f>
        <v>x</v>
      </c>
      <c r="C9" s="16" t="str">
        <f ca="1">IF(SUMPRODUCT(--($J$3:INDIRECT("$J$"&amp;$I$1+2)=INDIRECT("Schedule!"&amp;C$15&amp;($I$1*$I8+2)):INDIRECT("Schedule!"&amp;C$15&amp;($I$1*$I9+1))))&lt;&gt;0,"x","")</f>
        <v>x</v>
      </c>
      <c r="D9" s="16" t="str">
        <f ca="1">IF(SUMPRODUCT(--($J$3:INDIRECT("$J$"&amp;$I$1+2)=INDIRECT("Schedule!"&amp;D$15&amp;($I$1*$I8+2)):INDIRECT("Schedule!"&amp;D$15&amp;($I$1*$I9+1))))&lt;&gt;0,"x","")</f>
        <v>x</v>
      </c>
      <c r="E9" s="16" t="str">
        <f ca="1">IF(SUMPRODUCT(--($J$3:INDIRECT("$J$"&amp;$I$1+2)=INDIRECT("Schedule!"&amp;E$15&amp;($I$1*$I8+2)):INDIRECT("Schedule!"&amp;E$15&amp;($I$1*$I9+1))))&lt;&gt;0,"x","")</f>
        <v>x</v>
      </c>
      <c r="F9" s="16" t="str">
        <f ca="1">IF(SUMPRODUCT(--($J$3:INDIRECT("$J$"&amp;$I$1+2)=INDIRECT("Schedule!"&amp;F$15&amp;($I$1*$I8+2)):INDIRECT("Schedule!"&amp;F$15&amp;($I$1*$I9+1))))&lt;&gt;0,"x","")</f>
        <v>x</v>
      </c>
      <c r="G9" s="7"/>
      <c r="H9" s="16" t="str">
        <f ca="1">IF(SUMPRODUCT(--($J$3:INDIRECT("$J$"&amp;$I$1+2)=INDIRECT("Schedule!"&amp;H$15&amp;($I$1*$I8+2)):INDIRECT("Schedule!"&amp;H$15&amp;($I$1*$I9+1))))&lt;&gt;0,"x","")</f>
        <v>x</v>
      </c>
      <c r="I9" s="17">
        <v>6</v>
      </c>
      <c r="J9" s="40" t="str">
        <f>IF(HLOOKUP($B$1,Coverage!$A$4:$DZ$28,ROW()-1,FALSE)="x",Coverage!$A12,"Default")</f>
        <v>Default</v>
      </c>
      <c r="M9" s="6"/>
    </row>
    <row r="10" spans="1:13" ht="15.6" thickTop="1" thickBot="1">
      <c r="A10" s="4" t="s">
        <v>80</v>
      </c>
      <c r="B10" s="16" t="str">
        <f ca="1">IF(SUMPRODUCT(--($J$3:INDIRECT("$J$"&amp;$I$1+2)=INDIRECT("Schedule!"&amp;B$15&amp;($I$1*$I9+2)):INDIRECT("Schedule!"&amp;B$15&amp;($I$1*$I10+1))))&lt;&gt;0,"x","")</f>
        <v>x</v>
      </c>
      <c r="C10" s="16" t="str">
        <f ca="1">IF(SUMPRODUCT(--($J$3:INDIRECT("$J$"&amp;$I$1+2)=INDIRECT("Schedule!"&amp;C$15&amp;($I$1*$I9+2)):INDIRECT("Schedule!"&amp;C$15&amp;($I$1*$I10+1))))&lt;&gt;0,"x","")</f>
        <v>x</v>
      </c>
      <c r="D10" s="16" t="str">
        <f ca="1">IF(SUMPRODUCT(--($J$3:INDIRECT("$J$"&amp;$I$1+2)=INDIRECT("Schedule!"&amp;D$15&amp;($I$1*$I9+2)):INDIRECT("Schedule!"&amp;D$15&amp;($I$1*$I10+1))))&lt;&gt;0,"x","")</f>
        <v>x</v>
      </c>
      <c r="E10" s="16" t="str">
        <f ca="1">IF(SUMPRODUCT(--($J$3:INDIRECT("$J$"&amp;$I$1+2)=INDIRECT("Schedule!"&amp;E$15&amp;($I$1*$I9+2)):INDIRECT("Schedule!"&amp;E$15&amp;($I$1*$I10+1))))&lt;&gt;0,"x","")</f>
        <v>x</v>
      </c>
      <c r="F10" s="16" t="str">
        <f ca="1">IF(SUMPRODUCT(--($J$3:INDIRECT("$J$"&amp;$I$1+2)=INDIRECT("Schedule!"&amp;F$15&amp;($I$1*$I9+2)):INDIRECT("Schedule!"&amp;F$15&amp;($I$1*$I10+1))))&lt;&gt;0,"x","")</f>
        <v>x</v>
      </c>
      <c r="G10" s="7"/>
      <c r="H10" s="16" t="str">
        <f ca="1">IF(SUMPRODUCT(--($J$3:INDIRECT("$J$"&amp;$I$1+2)=INDIRECT("Schedule!"&amp;H$15&amp;($I$1*$I9+2)):INDIRECT("Schedule!"&amp;H$15&amp;($I$1*$I10+1))))&lt;&gt;0,"x","")</f>
        <v>x</v>
      </c>
      <c r="I10" s="17">
        <v>7</v>
      </c>
      <c r="J10" s="40" t="str">
        <f>IF(HLOOKUP($B$1,Coverage!$A$4:$DZ$28,ROW()-1,FALSE)="x",Coverage!$A13,"Default")</f>
        <v>Default</v>
      </c>
      <c r="M10" s="6"/>
    </row>
    <row r="11" spans="1:13" ht="15.6" thickTop="1" thickBot="1">
      <c r="A11" s="4" t="s">
        <v>81</v>
      </c>
      <c r="B11" s="16" t="str">
        <f ca="1">IF(SUMPRODUCT(--($J$3:INDIRECT("$J$"&amp;$I$1+2)=INDIRECT("Schedule!"&amp;B$15&amp;($I$1*$I10+2)):INDIRECT("Schedule!"&amp;B$15&amp;($I$1*$I11+1))))&lt;&gt;0,"x","")</f>
        <v>x</v>
      </c>
      <c r="C11" s="16" t="str">
        <f ca="1">IF(SUMPRODUCT(--($J$3:INDIRECT("$J$"&amp;$I$1+2)=INDIRECT("Schedule!"&amp;C$15&amp;($I$1*$I10+2)):INDIRECT("Schedule!"&amp;C$15&amp;($I$1*$I11+1))))&lt;&gt;0,"x","")</f>
        <v>x</v>
      </c>
      <c r="D11" s="16" t="str">
        <f ca="1">IF(SUMPRODUCT(--($J$3:INDIRECT("$J$"&amp;$I$1+2)=INDIRECT("Schedule!"&amp;D$15&amp;($I$1*$I10+2)):INDIRECT("Schedule!"&amp;D$15&amp;($I$1*$I11+1))))&lt;&gt;0,"x","")</f>
        <v>x</v>
      </c>
      <c r="E11" s="16" t="str">
        <f ca="1">IF(SUMPRODUCT(--($J$3:INDIRECT("$J$"&amp;$I$1+2)=INDIRECT("Schedule!"&amp;E$15&amp;($I$1*$I10+2)):INDIRECT("Schedule!"&amp;E$15&amp;($I$1*$I11+1))))&lt;&gt;0,"x","")</f>
        <v>x</v>
      </c>
      <c r="F11" s="7"/>
      <c r="G11" s="7"/>
      <c r="H11" s="7"/>
      <c r="I11" s="17">
        <v>8</v>
      </c>
      <c r="J11" s="40" t="str">
        <f>IF(HLOOKUP($B$1,Coverage!$A$4:$DZ$28,ROW()-1,FALSE)="x",Coverage!$A14,"Default")</f>
        <v>Default</v>
      </c>
      <c r="M11" s="6"/>
    </row>
    <row r="12" spans="1:13" ht="15.6" thickTop="1" thickBot="1">
      <c r="A12" s="4" t="s">
        <v>82</v>
      </c>
      <c r="B12" s="16" t="str">
        <f ca="1">IF(SUMPRODUCT(--($J$3:INDIRECT("$J$"&amp;$I$1+2)=INDIRECT("Schedule!"&amp;B$15&amp;($I$1*$I11+2)):INDIRECT("Schedule!"&amp;B$15&amp;($I$1*$I12+1))))&lt;&gt;0,"x","")</f>
        <v>x</v>
      </c>
      <c r="C12" s="16" t="str">
        <f ca="1">IF(SUMPRODUCT(--($J$3:INDIRECT("$J$"&amp;$I$1+2)=INDIRECT("Schedule!"&amp;C$15&amp;($I$1*$I11+2)):INDIRECT("Schedule!"&amp;C$15&amp;($I$1*$I12+1))))&lt;&gt;0,"x","")</f>
        <v>x</v>
      </c>
      <c r="D12" s="16" t="str">
        <f ca="1">IF(SUMPRODUCT(--($J$3:INDIRECT("$J$"&amp;$I$1+2)=INDIRECT("Schedule!"&amp;D$15&amp;($I$1*$I11+2)):INDIRECT("Schedule!"&amp;D$15&amp;($I$1*$I12+1))))&lt;&gt;0,"x","")</f>
        <v>x</v>
      </c>
      <c r="E12" s="16" t="str">
        <f ca="1">IF(SUMPRODUCT(--($J$3:INDIRECT("$J$"&amp;$I$1+2)=INDIRECT("Schedule!"&amp;E$15&amp;($I$1*$I11+2)):INDIRECT("Schedule!"&amp;E$15&amp;($I$1*$I12+1))))&lt;&gt;0,"x","")</f>
        <v>x</v>
      </c>
      <c r="F12" s="7"/>
      <c r="G12" s="7"/>
      <c r="H12" s="7"/>
      <c r="I12" s="17">
        <v>9</v>
      </c>
      <c r="J12" s="40" t="str">
        <f>IF(HLOOKUP($B$1,Coverage!$A$4:$DZ$28,ROW()-1,FALSE)="x",Coverage!$A15,"Default")</f>
        <v>Default</v>
      </c>
      <c r="M12" s="6"/>
    </row>
    <row r="13" spans="1:13" ht="15.6" thickTop="1" thickBot="1">
      <c r="A13" s="4" t="s">
        <v>83</v>
      </c>
      <c r="B13" s="16" t="str">
        <f ca="1">IF(SUMPRODUCT(--($J$3:INDIRECT("$J$"&amp;$I$1+2)=INDIRECT("Schedule!"&amp;B$15&amp;($I$1*$I12+2)):INDIRECT("Schedule!"&amp;B$15&amp;($I$1*$I13+1))))&lt;&gt;0,"x","")</f>
        <v>x</v>
      </c>
      <c r="C13" s="16" t="str">
        <f ca="1">IF(SUMPRODUCT(--($J$3:INDIRECT("$J$"&amp;$I$1+2)=INDIRECT("Schedule!"&amp;C$15&amp;($I$1*$I12+2)):INDIRECT("Schedule!"&amp;C$15&amp;($I$1*$I13+1))))&lt;&gt;0,"x","")</f>
        <v>x</v>
      </c>
      <c r="D13" s="16" t="str">
        <f ca="1">IF(SUMPRODUCT(--($J$3:INDIRECT("$J$"&amp;$I$1+2)=INDIRECT("Schedule!"&amp;D$15&amp;($I$1*$I12+2)):INDIRECT("Schedule!"&amp;D$15&amp;($I$1*$I13+1))))&lt;&gt;0,"x","")</f>
        <v>x</v>
      </c>
      <c r="E13" s="16" t="str">
        <f ca="1">IF(SUMPRODUCT(--($J$3:INDIRECT("$J$"&amp;$I$1+2)=INDIRECT("Schedule!"&amp;E$15&amp;($I$1*$I12+2)):INDIRECT("Schedule!"&amp;E$15&amp;($I$1*$I13+1))))&lt;&gt;0,"x","")</f>
        <v>x</v>
      </c>
      <c r="F13" s="7"/>
      <c r="G13" s="7"/>
      <c r="H13" s="7"/>
      <c r="I13" s="17">
        <v>10</v>
      </c>
      <c r="J13" s="40" t="str">
        <f>IF(HLOOKUP($B$1,Coverage!$A$4:$DZ$28,ROW()-1,FALSE)="x",Coverage!$A16,"Default")</f>
        <v>Default</v>
      </c>
      <c r="M13" s="6"/>
    </row>
    <row r="14" spans="1:13" ht="15.6" thickTop="1" thickBot="1">
      <c r="A14" s="4" t="s">
        <v>84</v>
      </c>
      <c r="B14" s="16" t="str">
        <f ca="1">IF(SUMPRODUCT(--($J$3:INDIRECT("$J$"&amp;$I$1+2)=INDIRECT("Schedule!"&amp;B$15&amp;($I$1*$I13+2)):INDIRECT("Schedule!"&amp;B$15&amp;($I$1*$I14+1))))&lt;&gt;0,"x","")</f>
        <v>x</v>
      </c>
      <c r="C14" s="16" t="str">
        <f ca="1">IF(SUMPRODUCT(--($J$3:INDIRECT("$J$"&amp;$I$1+2)=INDIRECT("Schedule!"&amp;C$15&amp;($I$1*$I13+2)):INDIRECT("Schedule!"&amp;C$15&amp;($I$1*$I14+1))))&lt;&gt;0,"x","")</f>
        <v>x</v>
      </c>
      <c r="D14" s="16" t="str">
        <f ca="1">IF(SUMPRODUCT(--($J$3:INDIRECT("$J$"&amp;$I$1+2)=INDIRECT("Schedule!"&amp;D$15&amp;($I$1*$I13+2)):INDIRECT("Schedule!"&amp;D$15&amp;($I$1*$I14+1))))&lt;&gt;0,"x","")</f>
        <v>x</v>
      </c>
      <c r="E14" s="16" t="str">
        <f ca="1">IF(SUMPRODUCT(--($J$3:INDIRECT("$J$"&amp;$I$1+2)=INDIRECT("Schedule!"&amp;E$15&amp;($I$1*$I13+2)):INDIRECT("Schedule!"&amp;E$15&amp;($I$1*$I14+1))))&lt;&gt;0,"x","")</f>
        <v>x</v>
      </c>
      <c r="F14" s="7"/>
      <c r="G14" s="7"/>
      <c r="H14" s="7"/>
      <c r="I14" s="17">
        <v>11</v>
      </c>
      <c r="J14" s="40" t="str">
        <f>IF(HLOOKUP($B$1,Coverage!$A$4:$DZ$28,ROW()-1,FALSE)="x",Coverage!$A17,"Default")</f>
        <v>Default</v>
      </c>
      <c r="M14" s="6"/>
    </row>
    <row r="15" spans="1:13" ht="15" thickTop="1">
      <c r="B15" t="s">
        <v>149</v>
      </c>
      <c r="C15" t="s">
        <v>150</v>
      </c>
      <c r="D15" t="s">
        <v>151</v>
      </c>
      <c r="E15" t="s">
        <v>152</v>
      </c>
      <c r="F15" t="s">
        <v>155</v>
      </c>
      <c r="G15" t="s">
        <v>153</v>
      </c>
      <c r="H15" t="s">
        <v>154</v>
      </c>
      <c r="I15" s="15"/>
      <c r="J15" s="40" t="str">
        <f>IF(HLOOKUP($B$1,Coverage!$A$4:$DZ$28,ROW()-1,FALSE)="x",Coverage!$A18,"Default")</f>
        <v>Default</v>
      </c>
      <c r="M15" s="6"/>
    </row>
    <row r="16" spans="1:13">
      <c r="I16" s="15"/>
      <c r="J16" s="40" t="str">
        <f>IF(HLOOKUP($B$1,Coverage!$A$4:$DZ$28,ROW()-1,FALSE)="x",Coverage!$A19,"Default")</f>
        <v>Default</v>
      </c>
      <c r="M16" s="6"/>
    </row>
    <row r="17" spans="9:13">
      <c r="I17" s="15"/>
      <c r="J17" s="40" t="str">
        <f>IF(HLOOKUP($B$1,Coverage!$A$4:$DZ$28,ROW()-1,FALSE)="x",Coverage!$A20,"Default")</f>
        <v>Default</v>
      </c>
      <c r="M17" s="6"/>
    </row>
    <row r="18" spans="9:13">
      <c r="I18" s="15"/>
      <c r="J18" s="40" t="str">
        <f>IF(HLOOKUP($B$1,Coverage!$A$4:$DZ$28,ROW()-1,FALSE)="x",Coverage!$A21,"Default")</f>
        <v>Default</v>
      </c>
      <c r="M18" s="6"/>
    </row>
    <row r="19" spans="9:13">
      <c r="I19" s="15"/>
      <c r="J19" s="40" t="str">
        <f>IF(HLOOKUP($B$1,Coverage!$A$4:$DZ$28,ROW()-1,FALSE)="x",Coverage!$A22,"Default")</f>
        <v>Default</v>
      </c>
    </row>
    <row r="20" spans="9:13">
      <c r="I20" s="2"/>
      <c r="J20" s="40" t="str">
        <f>IF(HLOOKUP($B$1,Coverage!$A$4:$DZ$28,ROW()-1,FALSE)="x",Coverage!$A23,"Default")</f>
        <v>Shayan</v>
      </c>
    </row>
    <row r="21" spans="9:13">
      <c r="I21" s="2"/>
      <c r="J21" s="40" t="str">
        <f>IF(HLOOKUP($B$1,Coverage!$A$4:$DZ$28,ROW()-1,FALSE)="x",Coverage!$A24,"Default")</f>
        <v>Default</v>
      </c>
    </row>
    <row r="22" spans="9:13">
      <c r="I22" s="2"/>
      <c r="J22" s="40" t="str">
        <f>IF(HLOOKUP($B$1,Coverage!$A$4:$DZ$28,ROW()-1,FALSE)="x",Coverage!$A25,"Default")</f>
        <v>Default</v>
      </c>
    </row>
    <row r="23" spans="9:13">
      <c r="I23" s="2"/>
      <c r="J23" s="40" t="str">
        <f>IF(HLOOKUP($B$1,Coverage!$A$4:$DZ$28,ROW()-1,FALSE)="x",Coverage!$A27,"Default")</f>
        <v>Default</v>
      </c>
    </row>
    <row r="24" spans="9:13">
      <c r="I24" s="2"/>
      <c r="J24" s="40" t="str">
        <f>IF(HLOOKUP($B$1,Coverage!$A$4:$DZ$28,ROW()-1,FALSE)="x",Coverage!$A28,"Default")</f>
        <v>Default</v>
      </c>
    </row>
    <row r="25" spans="9:13">
      <c r="I25" s="2"/>
      <c r="J25" s="40"/>
    </row>
    <row r="26" spans="9:13">
      <c r="I26" s="2"/>
      <c r="J26" s="40"/>
    </row>
    <row r="27" spans="9:13">
      <c r="I27" s="2"/>
      <c r="J27" s="40"/>
    </row>
    <row r="28" spans="9:13">
      <c r="I28" s="2"/>
      <c r="J28" s="40"/>
    </row>
    <row r="29" spans="9:13">
      <c r="J29" s="40"/>
    </row>
    <row r="30" spans="9:13">
      <c r="J30" s="25"/>
    </row>
    <row r="31" spans="9:13">
      <c r="J31" s="25"/>
    </row>
    <row r="32" spans="9:13">
      <c r="J32" s="15"/>
    </row>
    <row r="33" spans="10:10">
      <c r="J33" s="15"/>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13"/>
  <sheetViews>
    <sheetView workbookViewId="0">
      <selection activeCell="C3" sqref="C3"/>
    </sheetView>
  </sheetViews>
  <sheetFormatPr defaultRowHeight="14.4"/>
  <cols>
    <col min="1" max="1" width="16.33203125" customWidth="1"/>
    <col min="2" max="2" width="7.44140625" customWidth="1"/>
    <col min="3" max="3" width="17.33203125" customWidth="1"/>
  </cols>
  <sheetData>
    <row r="1" spans="1:12">
      <c r="A1" t="str">
        <f>"Coverage!"&amp;ADDRESS(MATCH("",Coverage!A:A,-1),MATCH("",Coverage!4:4,-1))</f>
        <v>Coverage!$DZ$28</v>
      </c>
      <c r="B1" s="12" t="s">
        <v>201</v>
      </c>
      <c r="C1" s="8" t="s">
        <v>321</v>
      </c>
      <c r="E1" t="s">
        <v>203</v>
      </c>
      <c r="K1">
        <f ca="1">COLUMN(INDIRECT($A$1))</f>
        <v>130</v>
      </c>
      <c r="L1" t="str">
        <f ca="1">ADDRESS(COLUMN(INDIRECT(A1)),1)</f>
        <v>$A$130</v>
      </c>
    </row>
    <row r="2" spans="1:12">
      <c r="A2" s="12" t="s">
        <v>202</v>
      </c>
    </row>
    <row r="3" spans="1:12">
      <c r="A3" t="str">
        <f ca="1">IF(VLOOKUP($C$1,Coverage!$A$4:INDIRECT($A$1),ROW(),FALSE)="x",INDIRECT("Coverage!"&amp;ADDRESS(4,ROW())),"")</f>
        <v>BMATH 122</v>
      </c>
      <c r="C3" t="str">
        <f ca="1">combine($A$3:INDIRECT(L1))</f>
        <v>BMATH 122, BMATH 123, STMATH 124, STMATH 125, STMATH 126, STMATH 307, STMATH 308, STMATH 324, BPHYS 121, BPHYS 122, BPHYS 123, EE 215, EE 233, EE 235, EE 271, EE 331, EE 332, EE 341, CSS 161,</v>
      </c>
    </row>
    <row r="4" spans="1:12">
      <c r="A4" s="15" t="str">
        <f ca="1">IF(VLOOKUP($C$1,Coverage!$A$4:INDIRECT($A$1),ROW(),FALSE)="x",INDIRECT("Coverage!"&amp;ADDRESS(4,ROW())),"")</f>
        <v>BMATH 123</v>
      </c>
    </row>
    <row r="5" spans="1:12">
      <c r="A5" s="15" t="str">
        <f ca="1">IF(VLOOKUP($C$1,Coverage!$A$4:INDIRECT($A$1),ROW(),FALSE)="x",INDIRECT("Coverage!"&amp;ADDRESS(4,ROW())),"")</f>
        <v>STMATH 124</v>
      </c>
    </row>
    <row r="6" spans="1:12">
      <c r="A6" s="15" t="str">
        <f ca="1">IF(VLOOKUP($C$1,Coverage!$A$4:INDIRECT($A$1),ROW(),FALSE)="x",INDIRECT("Coverage!"&amp;ADDRESS(4,ROW())),"")</f>
        <v>STMATH 125</v>
      </c>
    </row>
    <row r="7" spans="1:12">
      <c r="A7" s="15" t="str">
        <f ca="1">IF(VLOOKUP($C$1,Coverage!$A$4:INDIRECT($A$1),ROW(),FALSE)="x",INDIRECT("Coverage!"&amp;ADDRESS(4,ROW())),"")</f>
        <v>STMATH 126</v>
      </c>
    </row>
    <row r="8" spans="1:12">
      <c r="A8" s="15" t="str">
        <f ca="1">IF(VLOOKUP($C$1,Coverage!$A$4:INDIRECT($A$1),ROW(),FALSE)="x",INDIRECT("Coverage!"&amp;ADDRESS(4,ROW())),"")</f>
        <v/>
      </c>
    </row>
    <row r="9" spans="1:12">
      <c r="A9" s="15" t="str">
        <f ca="1">IF(VLOOKUP($C$1,Coverage!$A$4:INDIRECT($A$1),ROW(),FALSE)="x",INDIRECT("Coverage!"&amp;ADDRESS(4,ROW())),"")</f>
        <v/>
      </c>
    </row>
    <row r="10" spans="1:12">
      <c r="A10" s="15" t="str">
        <f ca="1">IF(VLOOKUP($C$1,Coverage!$A$4:INDIRECT($A$1),ROW(),FALSE)="x",INDIRECT("Coverage!"&amp;ADDRESS(4,ROW())),"")</f>
        <v/>
      </c>
    </row>
    <row r="11" spans="1:12">
      <c r="A11" s="15" t="str">
        <f ca="1">IF(VLOOKUP($C$1,Coverage!$A$4:INDIRECT($A$1),ROW(),FALSE)="x",INDIRECT("Coverage!"&amp;ADDRESS(4,ROW())),"")</f>
        <v>STMATH 307</v>
      </c>
    </row>
    <row r="12" spans="1:12">
      <c r="A12" s="15" t="str">
        <f ca="1">IF(VLOOKUP($C$1,Coverage!$A$4:INDIRECT($A$1),ROW(),FALSE)="x",INDIRECT("Coverage!"&amp;ADDRESS(4,ROW())),"")</f>
        <v>STMATH 308</v>
      </c>
    </row>
    <row r="13" spans="1:12">
      <c r="A13" s="15" t="str">
        <f ca="1">IF(VLOOKUP($C$1,Coverage!$A$4:INDIRECT($A$1),ROW(),FALSE)="x",INDIRECT("Coverage!"&amp;ADDRESS(4,ROW())),"")</f>
        <v>STMATH 324</v>
      </c>
    </row>
    <row r="14" spans="1:12">
      <c r="A14" s="15" t="str">
        <f ca="1">IF(VLOOKUP($C$1,Coverage!$A$4:INDIRECT($A$1),ROW(),FALSE)="x",INDIRECT("Coverage!"&amp;ADDRESS(4,ROW())),"")</f>
        <v/>
      </c>
    </row>
    <row r="15" spans="1:12">
      <c r="A15" s="15" t="str">
        <f ca="1">IF(VLOOKUP($C$1,Coverage!$A$4:INDIRECT($A$1),ROW(),FALSE)="x",INDIRECT("Coverage!"&amp;ADDRESS(4,ROW())),"")</f>
        <v/>
      </c>
    </row>
    <row r="16" spans="1:12">
      <c r="A16" s="15" t="str">
        <f ca="1">IF(VLOOKUP($C$1,Coverage!$A$4:INDIRECT($A$1),ROW(),FALSE)="x",INDIRECT("Coverage!"&amp;ADDRESS(4,ROW())),"")</f>
        <v/>
      </c>
    </row>
    <row r="17" spans="1:1">
      <c r="A17" s="15" t="str">
        <f ca="1">IF(VLOOKUP($C$1,Coverage!$A$4:INDIRECT($A$1),ROW(),FALSE)="x",INDIRECT("Coverage!"&amp;ADDRESS(4,ROW())),"")</f>
        <v/>
      </c>
    </row>
    <row r="18" spans="1:1">
      <c r="A18" s="15" t="str">
        <f ca="1">IF(VLOOKUP($C$1,Coverage!$A$4:INDIRECT($A$1),ROW(),FALSE)="x",INDIRECT("Coverage!"&amp;ADDRESS(4,ROW())),"")</f>
        <v/>
      </c>
    </row>
    <row r="19" spans="1:1">
      <c r="A19" s="15" t="str">
        <f ca="1">IF(VLOOKUP($C$1,Coverage!$A$4:INDIRECT($A$1),ROW(),FALSE)="x",INDIRECT("Coverage!"&amp;ADDRESS(4,ROW())),"")</f>
        <v/>
      </c>
    </row>
    <row r="20" spans="1:1">
      <c r="A20" s="15" t="str">
        <f ca="1">IF(VLOOKUP($C$1,Coverage!$A$4:INDIRECT($A$1),ROW(),FALSE)="x",INDIRECT("Coverage!"&amp;ADDRESS(4,ROW())),"")</f>
        <v/>
      </c>
    </row>
    <row r="21" spans="1:1">
      <c r="A21" s="15" t="str">
        <f ca="1">IF(VLOOKUP($C$1,Coverage!$A$4:INDIRECT($A$1),ROW(),FALSE)="x",INDIRECT("Coverage!"&amp;ADDRESS(4,ROW())),"")</f>
        <v/>
      </c>
    </row>
    <row r="22" spans="1:1">
      <c r="A22" s="15" t="str">
        <f ca="1">IF(VLOOKUP($C$1,Coverage!$A$4:INDIRECT($A$1),ROW(),FALSE)="x",INDIRECT("Coverage!"&amp;ADDRESS(4,ROW())),"")</f>
        <v>BPHYS 121</v>
      </c>
    </row>
    <row r="23" spans="1:1">
      <c r="A23" s="15" t="str">
        <f ca="1">IF(VLOOKUP($C$1,Coverage!$A$4:INDIRECT($A$1),ROW(),FALSE)="x",INDIRECT("Coverage!"&amp;ADDRESS(4,ROW())),"")</f>
        <v>BPHYS 122</v>
      </c>
    </row>
    <row r="24" spans="1:1">
      <c r="A24" s="15" t="str">
        <f ca="1">IF(VLOOKUP($C$1,Coverage!$A$4:INDIRECT($A$1),ROW(),FALSE)="x",INDIRECT("Coverage!"&amp;ADDRESS(4,ROW())),"")</f>
        <v>BPHYS 123</v>
      </c>
    </row>
    <row r="25" spans="1:1">
      <c r="A25" s="15" t="str">
        <f ca="1">IF(VLOOKUP($C$1,Coverage!$A$4:INDIRECT($A$1),ROW(),FALSE)="x",INDIRECT("Coverage!"&amp;ADDRESS(4,ROW())),"")</f>
        <v/>
      </c>
    </row>
    <row r="26" spans="1:1">
      <c r="A26" s="15" t="str">
        <f ca="1">IF(VLOOKUP($C$1,Coverage!$A$4:INDIRECT($A$1),ROW(),FALSE)="x",INDIRECT("Coverage!"&amp;ADDRESS(4,ROW())),"")</f>
        <v/>
      </c>
    </row>
    <row r="27" spans="1:1">
      <c r="A27" s="15" t="str">
        <f ca="1">IF(VLOOKUP($C$1,Coverage!$A$4:INDIRECT($A$1),ROW(),FALSE)="x",INDIRECT("Coverage!"&amp;ADDRESS(4,ROW())),"")</f>
        <v/>
      </c>
    </row>
    <row r="28" spans="1:1">
      <c r="A28" s="15" t="str">
        <f ca="1">IF(VLOOKUP($C$1,Coverage!$A$4:INDIRECT($A$1),ROW(),FALSE)="x",INDIRECT("Coverage!"&amp;ADDRESS(4,ROW())),"")</f>
        <v/>
      </c>
    </row>
    <row r="29" spans="1:1">
      <c r="A29" s="15" t="str">
        <f ca="1">IF(VLOOKUP($C$1,Coverage!$A$4:INDIRECT($A$1),ROW(),FALSE)="x",INDIRECT("Coverage!"&amp;ADDRESS(4,ROW())),"")</f>
        <v/>
      </c>
    </row>
    <row r="30" spans="1:1">
      <c r="A30" s="15" t="str">
        <f ca="1">IF(VLOOKUP($C$1,Coverage!$A$4:INDIRECT($A$1),ROW(),FALSE)="x",INDIRECT("Coverage!"&amp;ADDRESS(4,ROW())),"")</f>
        <v/>
      </c>
    </row>
    <row r="31" spans="1:1">
      <c r="A31" s="15" t="str">
        <f ca="1">IF(VLOOKUP($C$1,Coverage!$A$4:INDIRECT($A$1),ROW(),FALSE)="x",INDIRECT("Coverage!"&amp;ADDRESS(4,ROW())),"")</f>
        <v/>
      </c>
    </row>
    <row r="32" spans="1:1">
      <c r="A32" s="15" t="str">
        <f ca="1">IF(VLOOKUP($C$1,Coverage!$A$4:INDIRECT($A$1),ROW(),FALSE)="x",INDIRECT("Coverage!"&amp;ADDRESS(4,ROW())),"")</f>
        <v/>
      </c>
    </row>
    <row r="33" spans="1:1">
      <c r="A33" s="15" t="str">
        <f ca="1">IF(VLOOKUP($C$1,Coverage!$A$4:INDIRECT($A$1),ROW(),FALSE)="x",INDIRECT("Coverage!"&amp;ADDRESS(4,ROW())),"")</f>
        <v/>
      </c>
    </row>
    <row r="34" spans="1:1">
      <c r="A34" s="15" t="str">
        <f ca="1">IF(VLOOKUP($C$1,Coverage!$A$4:INDIRECT($A$1),ROW(),FALSE)="x",INDIRECT("Coverage!"&amp;ADDRESS(4,ROW())),"")</f>
        <v/>
      </c>
    </row>
    <row r="35" spans="1:1">
      <c r="A35" s="15" t="str">
        <f ca="1">IF(VLOOKUP($C$1,Coverage!$A$4:INDIRECT($A$1),ROW(),FALSE)="x",INDIRECT("Coverage!"&amp;ADDRESS(4,ROW())),"")</f>
        <v/>
      </c>
    </row>
    <row r="36" spans="1:1">
      <c r="A36" s="15" t="str">
        <f ca="1">IF(VLOOKUP($C$1,Coverage!$A$4:INDIRECT($A$1),ROW(),FALSE)="x",INDIRECT("Coverage!"&amp;ADDRESS(4,ROW())),"")</f>
        <v/>
      </c>
    </row>
    <row r="37" spans="1:1">
      <c r="A37" s="15" t="str">
        <f ca="1">IF(VLOOKUP($C$1,Coverage!$A$4:INDIRECT($A$1),ROW(),FALSE)="x",INDIRECT("Coverage!"&amp;ADDRESS(4,ROW())),"")</f>
        <v/>
      </c>
    </row>
    <row r="38" spans="1:1">
      <c r="A38" s="15" t="str">
        <f ca="1">IF(VLOOKUP($C$1,Coverage!$A$4:INDIRECT($A$1),ROW(),FALSE)="x",INDIRECT("Coverage!"&amp;ADDRESS(4,ROW())),"")</f>
        <v/>
      </c>
    </row>
    <row r="39" spans="1:1">
      <c r="A39" s="15" t="str">
        <f ca="1">IF(VLOOKUP($C$1,Coverage!$A$4:INDIRECT($A$1),ROW(),FALSE)="x",INDIRECT("Coverage!"&amp;ADDRESS(4,ROW())),"")</f>
        <v/>
      </c>
    </row>
    <row r="40" spans="1:1">
      <c r="A40" s="15" t="str">
        <f ca="1">IF(VLOOKUP($C$1,Coverage!$A$4:INDIRECT($A$1),ROW(),FALSE)="x",INDIRECT("Coverage!"&amp;ADDRESS(4,ROW())),"")</f>
        <v/>
      </c>
    </row>
    <row r="41" spans="1:1">
      <c r="A41" s="15" t="str">
        <f ca="1">IF(VLOOKUP($C$1,Coverage!$A$4:INDIRECT($A$1),ROW(),FALSE)="x",INDIRECT("Coverage!"&amp;ADDRESS(4,ROW())),"")</f>
        <v/>
      </c>
    </row>
    <row r="42" spans="1:1">
      <c r="A42" s="15" t="str">
        <f ca="1">IF(VLOOKUP($C$1,Coverage!$A$4:INDIRECT($A$1),ROW(),FALSE)="x",INDIRECT("Coverage!"&amp;ADDRESS(4,ROW())),"")</f>
        <v/>
      </c>
    </row>
    <row r="43" spans="1:1">
      <c r="A43" s="15" t="str">
        <f ca="1">IF(VLOOKUP($C$1,Coverage!$A$4:INDIRECT($A$1),ROW(),FALSE)="x",INDIRECT("Coverage!"&amp;ADDRESS(4,ROW())),"")</f>
        <v/>
      </c>
    </row>
    <row r="44" spans="1:1">
      <c r="A44" s="15" t="str">
        <f ca="1">IF(VLOOKUP($C$1,Coverage!$A$4:INDIRECT($A$1),ROW(),FALSE)="x",INDIRECT("Coverage!"&amp;ADDRESS(4,ROW())),"")</f>
        <v/>
      </c>
    </row>
    <row r="45" spans="1:1">
      <c r="A45" s="15" t="str">
        <f ca="1">IF(VLOOKUP($C$1,Coverage!$A$4:INDIRECT($A$1),ROW(),FALSE)="x",INDIRECT("Coverage!"&amp;ADDRESS(4,ROW())),"")</f>
        <v/>
      </c>
    </row>
    <row r="46" spans="1:1">
      <c r="A46" s="15" t="str">
        <f ca="1">IF(VLOOKUP($C$1,Coverage!$A$4:INDIRECT($A$1),ROW(),FALSE)="x",INDIRECT("Coverage!"&amp;ADDRESS(4,ROW())),"")</f>
        <v/>
      </c>
    </row>
    <row r="47" spans="1:1">
      <c r="A47" s="15" t="str">
        <f ca="1">IF(VLOOKUP($C$1,Coverage!$A$4:INDIRECT($A$1),ROW(),FALSE)="x",INDIRECT("Coverage!"&amp;ADDRESS(4,ROW())),"")</f>
        <v/>
      </c>
    </row>
    <row r="48" spans="1:1">
      <c r="A48" s="15" t="str">
        <f ca="1">IF(VLOOKUP($C$1,Coverage!$A$4:INDIRECT($A$1),ROW(),FALSE)="x",INDIRECT("Coverage!"&amp;ADDRESS(4,ROW())),"")</f>
        <v/>
      </c>
    </row>
    <row r="49" spans="1:1">
      <c r="A49" s="15" t="str">
        <f ca="1">IF(VLOOKUP($C$1,Coverage!$A$4:INDIRECT($A$1),ROW(),FALSE)="x",INDIRECT("Coverage!"&amp;ADDRESS(4,ROW())),"")</f>
        <v/>
      </c>
    </row>
    <row r="50" spans="1:1">
      <c r="A50" s="15" t="str">
        <f ca="1">IF(VLOOKUP($C$1,Coverage!$A$4:INDIRECT($A$1),ROW(),FALSE)="x",INDIRECT("Coverage!"&amp;ADDRESS(4,ROW())),"")</f>
        <v/>
      </c>
    </row>
    <row r="51" spans="1:1">
      <c r="A51" s="15" t="str">
        <f ca="1">IF(VLOOKUP($C$1,Coverage!$A$4:INDIRECT($A$1),ROW(),FALSE)="x",INDIRECT("Coverage!"&amp;ADDRESS(4,ROW())),"")</f>
        <v>EE 215</v>
      </c>
    </row>
    <row r="52" spans="1:1">
      <c r="A52" s="15" t="str">
        <f ca="1">IF(VLOOKUP($C$1,Coverage!$A$4:INDIRECT($A$1),ROW(),FALSE)="x",INDIRECT("Coverage!"&amp;ADDRESS(4,ROW())),"")</f>
        <v>EE 233</v>
      </c>
    </row>
    <row r="53" spans="1:1">
      <c r="A53" s="15" t="str">
        <f ca="1">IF(VLOOKUP($C$1,Coverage!$A$4:INDIRECT($A$1),ROW(),FALSE)="x",INDIRECT("Coverage!"&amp;ADDRESS(4,ROW())),"")</f>
        <v>EE 235</v>
      </c>
    </row>
    <row r="54" spans="1:1">
      <c r="A54" s="15" t="str">
        <f ca="1">IF(VLOOKUP($C$1,Coverage!$A$4:INDIRECT($A$1),ROW(),FALSE)="x",INDIRECT("Coverage!"&amp;ADDRESS(4,ROW())),"")</f>
        <v>EE 271</v>
      </c>
    </row>
    <row r="55" spans="1:1">
      <c r="A55" s="15" t="str">
        <f ca="1">IF(VLOOKUP($C$1,Coverage!$A$4:INDIRECT($A$1),ROW(),FALSE)="x",INDIRECT("Coverage!"&amp;ADDRESS(4,ROW())),"")</f>
        <v>EE 331</v>
      </c>
    </row>
    <row r="56" spans="1:1">
      <c r="A56" s="15" t="str">
        <f ca="1">IF(VLOOKUP($C$1,Coverage!$A$4:INDIRECT($A$1),ROW(),FALSE)="x",INDIRECT("Coverage!"&amp;ADDRESS(4,ROW())),"")</f>
        <v>EE 332</v>
      </c>
    </row>
    <row r="57" spans="1:1">
      <c r="A57" s="15" t="str">
        <f ca="1">IF(VLOOKUP($C$1,Coverage!$A$4:INDIRECT($A$1),ROW(),FALSE)="x",INDIRECT("Coverage!"&amp;ADDRESS(4,ROW())),"")</f>
        <v>EE 341</v>
      </c>
    </row>
    <row r="58" spans="1:1">
      <c r="A58" s="15" t="str">
        <f ca="1">IF(VLOOKUP($C$1,Coverage!$A$4:INDIRECT($A$1),ROW(),FALSE)="x",INDIRECT("Coverage!"&amp;ADDRESS(4,ROW())),"")</f>
        <v/>
      </c>
    </row>
    <row r="59" spans="1:1">
      <c r="A59" s="15" t="str">
        <f ca="1">IF(VLOOKUP($C$1,Coverage!$A$4:INDIRECT($A$1),ROW(),FALSE)="x",INDIRECT("Coverage!"&amp;ADDRESS(4,ROW())),"")</f>
        <v/>
      </c>
    </row>
    <row r="60" spans="1:1">
      <c r="A60" s="15" t="str">
        <f ca="1">IF(VLOOKUP($C$1,Coverage!$A$4:INDIRECT($A$1),ROW(),FALSE)="x",INDIRECT("Coverage!"&amp;ADDRESS(4,ROW())),"")</f>
        <v/>
      </c>
    </row>
    <row r="61" spans="1:1">
      <c r="A61" s="15" t="str">
        <f ca="1">IF(VLOOKUP($C$1,Coverage!$A$4:INDIRECT($A$1),ROW(),FALSE)="x",INDIRECT("Coverage!"&amp;ADDRESS(4,ROW())),"")</f>
        <v/>
      </c>
    </row>
    <row r="62" spans="1:1">
      <c r="A62" s="15" t="str">
        <f ca="1">IF(VLOOKUP($C$1,Coverage!$A$4:INDIRECT($A$1),ROW(),FALSE)="x",INDIRECT("Coverage!"&amp;ADDRESS(4,ROW())),"")</f>
        <v/>
      </c>
    </row>
    <row r="63" spans="1:1">
      <c r="A63" s="15" t="str">
        <f ca="1">IF(VLOOKUP($C$1,Coverage!$A$4:INDIRECT($A$1),ROW(),FALSE)="x",INDIRECT("Coverage!"&amp;ADDRESS(4,ROW())),"")</f>
        <v/>
      </c>
    </row>
    <row r="64" spans="1:1">
      <c r="A64" s="15" t="str">
        <f ca="1">IF(VLOOKUP($C$1,Coverage!$A$4:INDIRECT($A$1),ROW(),FALSE)="x",INDIRECT("Coverage!"&amp;ADDRESS(4,ROW())),"")</f>
        <v/>
      </c>
    </row>
    <row r="65" spans="1:1">
      <c r="A65" s="15" t="str">
        <f ca="1">IF(VLOOKUP($C$1,Coverage!$A$4:INDIRECT($A$1),ROW(),FALSE)="x",INDIRECT("Coverage!"&amp;ADDRESS(4,ROW())),"")</f>
        <v/>
      </c>
    </row>
    <row r="66" spans="1:1">
      <c r="A66" s="15" t="str">
        <f ca="1">IF(VLOOKUP($C$1,Coverage!$A$4:INDIRECT($A$1),ROW(),FALSE)="x",INDIRECT("Coverage!"&amp;ADDRESS(4,ROW())),"")</f>
        <v/>
      </c>
    </row>
    <row r="67" spans="1:1">
      <c r="A67" s="15" t="str">
        <f ca="1">IF(VLOOKUP($C$1,Coverage!$A$4:INDIRECT($A$1),ROW(),FALSE)="x",INDIRECT("Coverage!"&amp;ADDRESS(4,ROW())),"")</f>
        <v>CSS 161</v>
      </c>
    </row>
    <row r="68" spans="1:1">
      <c r="A68" s="15" t="str">
        <f ca="1">IF(VLOOKUP($C$1,Coverage!$A$4:INDIRECT($A$1),ROW(),FALSE)="x",INDIRECT("Coverage!"&amp;ADDRESS(4,ROW())),"")</f>
        <v/>
      </c>
    </row>
    <row r="69" spans="1:1">
      <c r="A69" s="15" t="str">
        <f ca="1">IF(VLOOKUP($C$1,Coverage!$A$4:INDIRECT($A$1),ROW(),FALSE)="x",INDIRECT("Coverage!"&amp;ADDRESS(4,ROW())),"")</f>
        <v/>
      </c>
    </row>
    <row r="70" spans="1:1">
      <c r="A70" s="15" t="str">
        <f ca="1">IF(VLOOKUP($C$1,Coverage!$A$4:INDIRECT($A$1),ROW(),FALSE)="x",INDIRECT("Coverage!"&amp;ADDRESS(4,ROW())),"")</f>
        <v/>
      </c>
    </row>
    <row r="71" spans="1:1">
      <c r="A71" s="15" t="str">
        <f ca="1">IF(VLOOKUP($C$1,Coverage!$A$4:INDIRECT($A$1),ROW(),FALSE)="x",INDIRECT("Coverage!"&amp;ADDRESS(4,ROW())),"")</f>
        <v/>
      </c>
    </row>
    <row r="72" spans="1:1">
      <c r="A72" s="15" t="str">
        <f ca="1">IF(VLOOKUP($C$1,Coverage!$A$4:INDIRECT($A$1),ROW(),FALSE)="x",INDIRECT("Coverage!"&amp;ADDRESS(4,ROW())),"")</f>
        <v/>
      </c>
    </row>
    <row r="73" spans="1:1">
      <c r="A73" s="15" t="str">
        <f ca="1">IF(VLOOKUP($C$1,Coverage!$A$4:INDIRECT($A$1),ROW(),FALSE)="x",INDIRECT("Coverage!"&amp;ADDRESS(4,ROW())),"")</f>
        <v/>
      </c>
    </row>
    <row r="74" spans="1:1">
      <c r="A74" s="15" t="str">
        <f ca="1">IF(VLOOKUP($C$1,Coverage!$A$4:INDIRECT($A$1),ROW(),FALSE)="x",INDIRECT("Coverage!"&amp;ADDRESS(4,ROW())),"")</f>
        <v/>
      </c>
    </row>
    <row r="75" spans="1:1">
      <c r="A75" s="15" t="str">
        <f ca="1">IF(VLOOKUP($C$1,Coverage!$A$4:INDIRECT($A$1),ROW(),FALSE)="x",INDIRECT("Coverage!"&amp;ADDRESS(4,ROW())),"")</f>
        <v/>
      </c>
    </row>
    <row r="76" spans="1:1">
      <c r="A76" s="15" t="str">
        <f ca="1">IF(VLOOKUP($C$1,Coverage!$A$4:INDIRECT($A$1),ROW(),FALSE)="x",INDIRECT("Coverage!"&amp;ADDRESS(4,ROW())),"")</f>
        <v/>
      </c>
    </row>
    <row r="77" spans="1:1">
      <c r="A77" s="15" t="str">
        <f ca="1">IF(VLOOKUP($C$1,Coverage!$A$4:INDIRECT($A$1),ROW(),FALSE)="x",INDIRECT("Coverage!"&amp;ADDRESS(4,ROW())),"")</f>
        <v/>
      </c>
    </row>
    <row r="78" spans="1:1">
      <c r="A78" s="15" t="str">
        <f ca="1">IF(VLOOKUP($C$1,Coverage!$A$4:INDIRECT($A$1),ROW(),FALSE)="x",INDIRECT("Coverage!"&amp;ADDRESS(4,ROW())),"")</f>
        <v/>
      </c>
    </row>
    <row r="79" spans="1:1">
      <c r="A79" s="15" t="str">
        <f ca="1">IF(VLOOKUP($C$1,Coverage!$A$4:INDIRECT($A$1),ROW(),FALSE)="x",INDIRECT("Coverage!"&amp;ADDRESS(4,ROW())),"")</f>
        <v/>
      </c>
    </row>
    <row r="80" spans="1:1">
      <c r="A80" s="15" t="str">
        <f ca="1">IF(VLOOKUP($C$1,Coverage!$A$4:INDIRECT($A$1),ROW(),FALSE)="x",INDIRECT("Coverage!"&amp;ADDRESS(4,ROW())),"")</f>
        <v/>
      </c>
    </row>
    <row r="81" spans="1:1">
      <c r="A81" s="15" t="str">
        <f ca="1">IF(VLOOKUP($C$1,Coverage!$A$4:INDIRECT($A$1),ROW(),FALSE)="x",INDIRECT("Coverage!"&amp;ADDRESS(4,ROW())),"")</f>
        <v/>
      </c>
    </row>
    <row r="82" spans="1:1">
      <c r="A82" s="15" t="str">
        <f ca="1">IF(VLOOKUP($C$1,Coverage!$A$4:INDIRECT($A$1),ROW(),FALSE)="x",INDIRECT("Coverage!"&amp;ADDRESS(4,ROW())),"")</f>
        <v/>
      </c>
    </row>
    <row r="83" spans="1:1">
      <c r="A83" s="15" t="str">
        <f ca="1">IF(VLOOKUP($C$1,Coverage!$A$4:INDIRECT($A$1),ROW(),FALSE)="x",INDIRECT("Coverage!"&amp;ADDRESS(4,ROW())),"")</f>
        <v/>
      </c>
    </row>
    <row r="84" spans="1:1">
      <c r="A84" s="15" t="str">
        <f ca="1">IF(VLOOKUP($C$1,Coverage!$A$4:INDIRECT($A$1),ROW(),FALSE)="x",INDIRECT("Coverage!"&amp;ADDRESS(4,ROW())),"")</f>
        <v/>
      </c>
    </row>
    <row r="85" spans="1:1">
      <c r="A85" s="15" t="str">
        <f ca="1">IF(VLOOKUP($C$1,Coverage!$A$4:INDIRECT($A$1),ROW(),FALSE)="x",INDIRECT("Coverage!"&amp;ADDRESS(4,ROW())),"")</f>
        <v/>
      </c>
    </row>
    <row r="86" spans="1:1">
      <c r="A86" s="15" t="str">
        <f ca="1">IF(VLOOKUP($C$1,Coverage!$A$4:INDIRECT($A$1),ROW(),FALSE)="x",INDIRECT("Coverage!"&amp;ADDRESS(4,ROW())),"")</f>
        <v/>
      </c>
    </row>
    <row r="87" spans="1:1">
      <c r="A87" s="15" t="str">
        <f ca="1">IF(VLOOKUP($C$1,Coverage!$A$4:INDIRECT($A$1),ROW(),FALSE)="x",INDIRECT("Coverage!"&amp;ADDRESS(4,ROW())),"")</f>
        <v/>
      </c>
    </row>
    <row r="88" spans="1:1">
      <c r="A88" s="15" t="str">
        <f ca="1">IF(VLOOKUP($C$1,Coverage!$A$4:INDIRECT($A$1),ROW(),FALSE)="x",INDIRECT("Coverage!"&amp;ADDRESS(4,ROW())),"")</f>
        <v/>
      </c>
    </row>
    <row r="89" spans="1:1">
      <c r="A89" s="15" t="str">
        <f ca="1">IF(VLOOKUP($C$1,Coverage!$A$4:INDIRECT($A$1),ROW(),FALSE)="x",INDIRECT("Coverage!"&amp;ADDRESS(4,ROW())),"")</f>
        <v/>
      </c>
    </row>
    <row r="90" spans="1:1">
      <c r="A90" s="15" t="str">
        <f ca="1">IF(VLOOKUP($C$1,Coverage!$A$4:INDIRECT($A$1),ROW(),FALSE)="x",INDIRECT("Coverage!"&amp;ADDRESS(4,ROW())),"")</f>
        <v/>
      </c>
    </row>
    <row r="91" spans="1:1">
      <c r="A91" s="15" t="str">
        <f ca="1">IF(VLOOKUP($C$1,Coverage!$A$4:INDIRECT($A$1),ROW(),FALSE)="x",INDIRECT("Coverage!"&amp;ADDRESS(4,ROW())),"")</f>
        <v/>
      </c>
    </row>
    <row r="92" spans="1:1">
      <c r="A92" s="15" t="str">
        <f ca="1">IF(VLOOKUP($C$1,Coverage!$A$4:INDIRECT($A$1),ROW(),FALSE)="x",INDIRECT("Coverage!"&amp;ADDRESS(4,ROW())),"")</f>
        <v/>
      </c>
    </row>
    <row r="93" spans="1:1">
      <c r="A93" s="15" t="str">
        <f ca="1">IF(VLOOKUP($C$1,Coverage!$A$4:INDIRECT($A$1),ROW(),FALSE)="x",INDIRECT("Coverage!"&amp;ADDRESS(4,ROW())),"")</f>
        <v/>
      </c>
    </row>
    <row r="94" spans="1:1">
      <c r="A94" s="15" t="str">
        <f ca="1">IF(VLOOKUP($C$1,Coverage!$A$4:INDIRECT($A$1),ROW(),FALSE)="x",INDIRECT("Coverage!"&amp;ADDRESS(4,ROW())),"")</f>
        <v/>
      </c>
    </row>
    <row r="95" spans="1:1">
      <c r="A95" s="15" t="str">
        <f ca="1">IF(VLOOKUP($C$1,Coverage!$A$4:INDIRECT($A$1),ROW(),FALSE)="x",INDIRECT("Coverage!"&amp;ADDRESS(4,ROW())),"")</f>
        <v/>
      </c>
    </row>
    <row r="96" spans="1:1">
      <c r="A96" s="15" t="str">
        <f ca="1">IF(VLOOKUP($C$1,Coverage!$A$4:INDIRECT($A$1),ROW(),FALSE)="x",INDIRECT("Coverage!"&amp;ADDRESS(4,ROW())),"")</f>
        <v/>
      </c>
    </row>
    <row r="97" spans="1:1">
      <c r="A97" s="15" t="str">
        <f ca="1">IF(VLOOKUP($C$1,Coverage!$A$4:INDIRECT($A$1),ROW(),FALSE)="x",INDIRECT("Coverage!"&amp;ADDRESS(4,ROW())),"")</f>
        <v/>
      </c>
    </row>
    <row r="98" spans="1:1">
      <c r="A98" s="15" t="str">
        <f ca="1">IF(VLOOKUP($C$1,Coverage!$A$4:INDIRECT($A$1),ROW(),FALSE)="x",INDIRECT("Coverage!"&amp;ADDRESS(4,ROW())),"")</f>
        <v/>
      </c>
    </row>
    <row r="99" spans="1:1">
      <c r="A99" s="15" t="str">
        <f ca="1">IF(VLOOKUP($C$1,Coverage!$A$4:INDIRECT($A$1),ROW(),FALSE)="x",INDIRECT("Coverage!"&amp;ADDRESS(4,ROW())),"")</f>
        <v/>
      </c>
    </row>
    <row r="100" spans="1:1">
      <c r="A100" s="15" t="str">
        <f ca="1">IF(VLOOKUP($C$1,Coverage!$A$4:INDIRECT($A$1),ROW(),FALSE)="x",INDIRECT("Coverage!"&amp;ADDRESS(4,ROW())),"")</f>
        <v/>
      </c>
    </row>
    <row r="101" spans="1:1">
      <c r="A101" s="15" t="str">
        <f ca="1">IF(VLOOKUP($C$1,Coverage!$A$4:INDIRECT($A$1),ROW(),FALSE)="x",INDIRECT("Coverage!"&amp;ADDRESS(4,ROW())),"")</f>
        <v/>
      </c>
    </row>
    <row r="102" spans="1:1">
      <c r="A102" s="15" t="str">
        <f ca="1">IF(VLOOKUP($C$1,Coverage!$A$4:INDIRECT($A$1),ROW(),FALSE)="x",INDIRECT("Coverage!"&amp;ADDRESS(4,ROW())),"")</f>
        <v/>
      </c>
    </row>
    <row r="103" spans="1:1">
      <c r="A103" s="15" t="str">
        <f ca="1">IF(VLOOKUP($C$1,Coverage!$A$4:INDIRECT($A$1),ROW(),FALSE)="x",INDIRECT("Coverage!"&amp;ADDRESS(4,ROW())),"")</f>
        <v/>
      </c>
    </row>
    <row r="104" spans="1:1">
      <c r="A104" s="15" t="str">
        <f ca="1">IF(VLOOKUP($C$1,Coverage!$A$4:INDIRECT($A$1),ROW(),FALSE)="x",INDIRECT("Coverage!"&amp;ADDRESS(4,ROW())),"")</f>
        <v/>
      </c>
    </row>
    <row r="105" spans="1:1">
      <c r="A105" s="15" t="str">
        <f ca="1">IF(VLOOKUP($C$1,Coverage!$A$4:INDIRECT($A$1),ROW(),FALSE)="x",INDIRECT("Coverage!"&amp;ADDRESS(4,ROW())),"")</f>
        <v/>
      </c>
    </row>
    <row r="106" spans="1:1">
      <c r="A106" s="15" t="str">
        <f ca="1">IF(VLOOKUP($C$1,Coverage!$A$4:INDIRECT($A$1),ROW(),FALSE)="x",INDIRECT("Coverage!"&amp;ADDRESS(4,ROW())),"")</f>
        <v/>
      </c>
    </row>
    <row r="107" spans="1:1">
      <c r="A107" s="15" t="str">
        <f ca="1">IF(VLOOKUP($C$1,Coverage!$A$4:INDIRECT($A$1),ROW(),FALSE)="x",INDIRECT("Coverage!"&amp;ADDRESS(4,ROW())),"")</f>
        <v/>
      </c>
    </row>
    <row r="108" spans="1:1">
      <c r="A108" s="15" t="str">
        <f ca="1">IF(VLOOKUP($C$1,Coverage!$A$4:INDIRECT($A$1),ROW(),FALSE)="x",INDIRECT("Coverage!"&amp;ADDRESS(4,ROW())),"")</f>
        <v/>
      </c>
    </row>
    <row r="109" spans="1:1">
      <c r="A109" s="15" t="str">
        <f ca="1">IF(VLOOKUP($C$1,Coverage!$A$4:INDIRECT($A$1),ROW(),FALSE)="x",INDIRECT("Coverage!"&amp;ADDRESS(4,ROW())),"")</f>
        <v/>
      </c>
    </row>
    <row r="110" spans="1:1">
      <c r="A110" s="15" t="str">
        <f ca="1">IF(VLOOKUP($C$1,Coverage!$A$4:INDIRECT($A$1),ROW(),FALSE)="x",INDIRECT("Coverage!"&amp;ADDRESS(4,ROW())),"")</f>
        <v/>
      </c>
    </row>
    <row r="111" spans="1:1">
      <c r="A111" s="15"/>
    </row>
    <row r="112" spans="1:1">
      <c r="A112" s="15"/>
    </row>
    <row r="113" spans="1:1">
      <c r="A113" s="15"/>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Coverage</vt:lpstr>
      <vt:lpstr>Schedule</vt:lpstr>
      <vt:lpstr>Cruncher</vt:lpstr>
      <vt:lpstr>BusCardInfo</vt:lpstr>
    </vt:vector>
  </TitlesOfParts>
  <Company>University of Washington Bothell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Erin Hill</dc:creator>
  <cp:lastModifiedBy>Amber Parsons</cp:lastModifiedBy>
  <dcterms:created xsi:type="dcterms:W3CDTF">2011-03-15T22:18:04Z</dcterms:created>
  <dcterms:modified xsi:type="dcterms:W3CDTF">2015-10-28T18:16:53Z</dcterms:modified>
</cp:coreProperties>
</file>